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C68ACC12-F3BE-415F-BB08-A6711A546BEF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Estudiantes" sheetId="1" r:id="rId1"/>
    <sheet name="Profesor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H16" i="1"/>
  <c r="F17" i="1"/>
  <c r="H17" i="1"/>
  <c r="G43" i="1"/>
  <c r="N4" i="2"/>
  <c r="N3" i="2"/>
  <c r="H5" i="1"/>
  <c r="H11" i="1"/>
  <c r="H13" i="1"/>
  <c r="H14" i="1"/>
  <c r="H18" i="1"/>
  <c r="H23" i="1"/>
  <c r="H32" i="1"/>
  <c r="H35" i="1"/>
  <c r="H36" i="1"/>
  <c r="H38" i="1"/>
  <c r="B43" i="1"/>
  <c r="C43" i="1"/>
  <c r="D43" i="1"/>
  <c r="K11" i="1" s="1"/>
  <c r="E43" i="1"/>
  <c r="F3" i="1"/>
  <c r="H3" i="1" s="1"/>
  <c r="F4" i="1"/>
  <c r="H4" i="1" s="1"/>
  <c r="F5" i="1"/>
  <c r="F6" i="1"/>
  <c r="H6" i="1" s="1"/>
  <c r="F7" i="1"/>
  <c r="H7" i="1" s="1"/>
  <c r="F8" i="1"/>
  <c r="H8" i="1" s="1"/>
  <c r="F9" i="1"/>
  <c r="H9" i="1" s="1"/>
  <c r="F10" i="1"/>
  <c r="H10" i="1" s="1"/>
  <c r="F11" i="1"/>
  <c r="F12" i="1"/>
  <c r="H12" i="1" s="1"/>
  <c r="F13" i="1"/>
  <c r="F14" i="1"/>
  <c r="F15" i="1"/>
  <c r="H15" i="1" s="1"/>
  <c r="F18" i="1"/>
  <c r="F19" i="1"/>
  <c r="H19" i="1" s="1"/>
  <c r="F20" i="1"/>
  <c r="H20" i="1" s="1"/>
  <c r="F21" i="1"/>
  <c r="H21" i="1" s="1"/>
  <c r="F22" i="1"/>
  <c r="H22" i="1" s="1"/>
  <c r="F23" i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F33" i="1"/>
  <c r="H33" i="1" s="1"/>
  <c r="F34" i="1"/>
  <c r="H34" i="1" s="1"/>
  <c r="F35" i="1"/>
  <c r="F36" i="1"/>
  <c r="F37" i="1"/>
  <c r="H37" i="1" s="1"/>
  <c r="F38" i="1"/>
  <c r="F39" i="1"/>
  <c r="H39" i="1" s="1"/>
  <c r="F40" i="1"/>
  <c r="H40" i="1" s="1"/>
  <c r="F41" i="1"/>
  <c r="H41" i="1" s="1"/>
  <c r="F42" i="1"/>
  <c r="H42" i="1" s="1"/>
  <c r="M4" i="2"/>
  <c r="M3" i="2"/>
  <c r="M7" i="2" s="1"/>
  <c r="K15" i="1" l="1"/>
  <c r="K29" i="1"/>
  <c r="K10" i="1"/>
  <c r="K30" i="1"/>
  <c r="F43" i="1"/>
  <c r="K12" i="1" s="1"/>
  <c r="H43" i="1"/>
  <c r="K14" i="1" s="1"/>
  <c r="K16" i="1" l="1"/>
</calcChain>
</file>

<file path=xl/sharedStrings.xml><?xml version="1.0" encoding="utf-8"?>
<sst xmlns="http://schemas.openxmlformats.org/spreadsheetml/2006/main" count="356" uniqueCount="33">
  <si>
    <t>NO TOCAR</t>
  </si>
  <si>
    <t>NOMBRE</t>
  </si>
  <si>
    <t>INVITADOS CENA+FIESTA</t>
  </si>
  <si>
    <t>INVITADOS FIESTA</t>
  </si>
  <si>
    <t>BUS</t>
  </si>
  <si>
    <t>PLAZAS BUS</t>
  </si>
  <si>
    <t>PAGADO</t>
  </si>
  <si>
    <t>TOTAL</t>
  </si>
  <si>
    <t>SI</t>
  </si>
  <si>
    <t>-----</t>
  </si>
  <si>
    <t>Cena + Fiesta</t>
  </si>
  <si>
    <t>IDA</t>
  </si>
  <si>
    <t>Solo Fiesta</t>
  </si>
  <si>
    <t>VUELTA</t>
  </si>
  <si>
    <t>NO</t>
  </si>
  <si>
    <t>Profesores</t>
  </si>
  <si>
    <t>Bus</t>
  </si>
  <si>
    <t>Bus ida</t>
  </si>
  <si>
    <t>ASISTENTES CENA+FIESTA</t>
  </si>
  <si>
    <t>ASISTENTES SOLO FIESTA</t>
  </si>
  <si>
    <t>PLAZAS DE BUS</t>
  </si>
  <si>
    <t>TOTAL PAGADO</t>
  </si>
  <si>
    <t>TOTAL PENDIENTE</t>
  </si>
  <si>
    <t>PENDIENTE</t>
  </si>
  <si>
    <t>DEPARTAMENTO</t>
  </si>
  <si>
    <t>ASISTENCIA</t>
  </si>
  <si>
    <t>PRECIO</t>
  </si>
  <si>
    <t>CENA</t>
  </si>
  <si>
    <t>Estadística</t>
  </si>
  <si>
    <t>Física</t>
  </si>
  <si>
    <t>CENA+FIESTA</t>
  </si>
  <si>
    <t>?</t>
  </si>
  <si>
    <t>Matemáticas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</si>
</sst>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8" formatCode="#,##0.00\ &quot;€&quot;;[Red]\-#,##0.00\ &quot;€&quot;"/>
    <numFmt numFmtId="164" formatCode="#,##0.00\ &quot;€&quot;"/>
    <numFmt numFmtId="165" formatCode="#&quot; / 72&quot;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8" fontId="0" fillId="0" borderId="0" xfId="0" applyNumberFormat="1"/>
    <xf numFmtId="6" fontId="0" fillId="0" borderId="0" xfId="0" applyNumberFormat="1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8" fontId="0" fillId="0" borderId="1" xfId="0" applyNumberFormat="1" applyBorder="1"/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3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6" fontId="0" fillId="0" borderId="0" xfId="0" applyNumberFormat="1" applyAlignment="1">
      <alignment vertical="center"/>
    </xf>
    <xf numFmtId="6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8" fontId="0" fillId="0" borderId="0" xfId="0" applyNumberFormat="1" applyAlignment="1">
      <alignment vertical="center"/>
    </xf>
    <xf numFmtId="8" fontId="0" fillId="0" borderId="0" xfId="0" applyNumberFormat="1" applyAlignment="1">
      <alignment horizontal="right" vertical="center"/>
    </xf>
    <xf numFmtId="8" fontId="0" fillId="0" borderId="2" xfId="0" applyNumberFormat="1" applyBorder="1" applyAlignment="1">
      <alignment vertical="center"/>
    </xf>
    <xf numFmtId="8" fontId="0" fillId="0" borderId="3" xfId="0" applyNumberFormat="1" applyBorder="1" applyAlignment="1">
      <alignment vertical="center"/>
    </xf>
    <xf numFmtId="164" fontId="3" fillId="0" borderId="0" xfId="0" applyNumberFormat="1" applyFont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2" fillId="0" borderId="3" xfId="0" applyFont="1" applyBorder="1" applyAlignment="1">
      <alignment vertical="center"/>
    </xf>
    <xf numFmtId="164" fontId="3" fillId="0" borderId="0" xfId="0" applyNumberFormat="1" applyFont="1" applyAlignment="1">
      <alignment vertical="center"/>
    </xf>
    <xf numFmtId="165" fontId="0" fillId="0" borderId="1" xfId="0" applyNumberFormat="1" applyBorder="1" applyAlignment="1">
      <alignment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56">
    <dxf>
      <font>
        <color rgb="FF000000"/>
      </font>
      <alignment vertical="center"/>
    </dxf>
    <dxf>
      <font>
        <color rgb="FF000000"/>
      </font>
      <alignment horizontal="center" vertical="center"/>
      <extLst>
        <ext xmlns:xfpb="http://schemas.microsoft.com/office/spreadsheetml/2022/featurepropertybag" uri="{0417FA29-78FA-4A13-93AC-8FF0FAFDF519}">
          <xfpb:DXFComplement i="0"/>
        </ext>
      </extLst>
    </dxf>
    <dxf>
      <font>
        <color rgb="FF000000"/>
      </font>
      <alignment vertical="center"/>
    </dxf>
    <dxf>
      <font>
        <color rgb="FF000000"/>
      </font>
      <alignment vertical="center"/>
    </dxf>
    <dxf>
      <font>
        <color rgb="FF000000"/>
      </font>
      <alignment vertical="center"/>
    </dxf>
    <dxf>
      <font>
        <color theme="0"/>
      </font>
      <alignment vertical="center"/>
    </dxf>
    <dxf>
      <font>
        <color rgb="FF000000"/>
      </font>
      <alignment vertical="center"/>
    </dxf>
    <dxf>
      <font>
        <color rgb="FF000000"/>
      </font>
      <alignment horizontal="center" vertical="center"/>
      <extLst>
        <ext xmlns:xfpb="http://schemas.microsoft.com/office/spreadsheetml/2022/featurepropertybag" uri="{0417FA29-78FA-4A13-93AC-8FF0FAFDF519}">
          <xfpb:DXFComplement i="0"/>
        </ext>
      </extLst>
    </dxf>
    <dxf>
      <font>
        <color rgb="FF000000"/>
      </font>
      <alignment vertical="center"/>
    </dxf>
    <dxf>
      <font>
        <color rgb="FF000000"/>
      </font>
      <alignment vertical="center"/>
    </dxf>
    <dxf>
      <font>
        <color rgb="FF000000"/>
      </font>
      <alignment vertical="center"/>
    </dxf>
    <dxf>
      <font>
        <color theme="0"/>
      </font>
      <alignment vertical="center"/>
    </dxf>
    <dxf>
      <font>
        <color rgb="FF000000"/>
      </font>
      <alignment horizontal="general" vertical="center" textRotation="0" wrapText="0" indent="0" justifyLastLine="0" shrinkToFit="0" readingOrder="0"/>
    </dxf>
    <dxf>
      <font>
        <color rgb="FF000000"/>
      </font>
      <alignment horizontal="center" vertical="center"/>
      <extLst>
        <ext xmlns:xfpb="http://schemas.microsoft.com/office/spreadsheetml/2022/featurepropertybag" uri="{0417FA29-78FA-4A13-93AC-8FF0FAFDF519}">
          <xfpb:DXFComplement i="0"/>
        </ext>
      </extLst>
    </dxf>
    <dxf>
      <font>
        <color rgb="FF000000"/>
      </font>
      <alignment vertical="center"/>
    </dxf>
    <dxf>
      <font>
        <color rgb="FF000000"/>
      </font>
      <alignment vertical="center"/>
    </dxf>
    <dxf>
      <font>
        <color rgb="FF000000"/>
      </font>
      <alignment vertical="center"/>
    </dxf>
    <dxf>
      <font>
        <color theme="0"/>
      </font>
      <alignment vertic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92D050"/>
      </font>
    </dxf>
    <dxf>
      <font>
        <b/>
        <i val="0"/>
        <color rgb="FF00B050"/>
      </font>
    </dxf>
    <dxf>
      <numFmt numFmtId="12" formatCode="#,##0.00\ &quot;€&quot;;[Red]\-#,##0.00\ &quot;€&quot;"/>
      <alignment vertical="center"/>
    </dxf>
    <dxf>
      <numFmt numFmtId="12" formatCode="#,##0.00\ &quot;€&quot;;[Red]\-#,##0.00\ &quot;€&quot;"/>
      <alignment horizontal="general" vertical="center" textRotation="0" wrapText="0" indent="0" justifyLastLine="0" shrinkToFit="0" readingOrder="0"/>
    </dxf>
    <dxf>
      <font>
        <color rgb="FF000000"/>
      </font>
      <alignment horizontal="general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color rgb="FF000000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color rgb="FF000000"/>
      </font>
      <fill>
        <patternFill patternType="none"/>
      </fill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color rgb="FF000000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color rgb="FF000000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/>
    </dxf>
    <dxf>
      <alignment horizontal="center" vertical="center" textRotation="0" wrapText="0" indent="0" justifyLastLine="0" shrinkToFit="0" readingOrder="0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color theme="9" tint="-0.499984740745262"/>
      </font>
      <fill>
        <patternFill patternType="solid">
          <bgColor rgb="FF92D050"/>
        </patternFill>
      </fill>
    </dxf>
    <dxf>
      <font>
        <color rgb="FF9C0006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</font>
    </dxf>
  </dxfs>
  <tableStyles count="0" defaultTableStyle="TableStyleMedium2" defaultPivotStyle="PivotStyleMedium9"/>
  <colors>
    <mruColors>
      <color rgb="FFF0AFB1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54-4872-9CD1-B72348DFCE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54-4872-9CD1-B72348DFCE58}"/>
              </c:ext>
            </c:extLst>
          </c:dPt>
          <c:cat>
            <c:strRef>
              <c:f>Estudiantes!$J$15:$J$16</c:f>
              <c:strCache>
                <c:ptCount val="2"/>
                <c:pt idx="0">
                  <c:v>TOTAL PAGADO</c:v>
                </c:pt>
                <c:pt idx="1">
                  <c:v>TOTAL PENDIENTE</c:v>
                </c:pt>
              </c:strCache>
            </c:strRef>
          </c:cat>
          <c:val>
            <c:numRef>
              <c:f>Estudiantes!$K$15:$K$16</c:f>
              <c:numCache>
                <c:formatCode>"€"#,##0.00_);[Red]\("€"#,##0.00\)</c:formatCode>
                <c:ptCount val="2"/>
                <c:pt idx="0" formatCode="#,##0.00\ &quot;€&quot;">
                  <c:v>4902</c:v>
                </c:pt>
                <c:pt idx="1">
                  <c:v>3699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54-4872-9CD1-B72348DFC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PERSONAS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50-46C4-BF2A-59FF5557CD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50-46C4-BF2A-59FF5557CDA7}"/>
              </c:ext>
            </c:extLst>
          </c:dPt>
          <c:cat>
            <c:strRef>
              <c:f>Estudiantes!$J$29:$J$30</c:f>
              <c:strCache>
                <c:ptCount val="2"/>
                <c:pt idx="0">
                  <c:v>PAGADO</c:v>
                </c:pt>
                <c:pt idx="1">
                  <c:v>PENDIENTE</c:v>
                </c:pt>
              </c:strCache>
            </c:strRef>
          </c:cat>
          <c:val>
            <c:numRef>
              <c:f>Estudiantes!$K$29:$K$30</c:f>
              <c:numCache>
                <c:formatCode>General</c:formatCode>
                <c:ptCount val="2"/>
                <c:pt idx="0">
                  <c:v>51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3-4B0B-AC7D-725FCCECB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RECUENTO DE PROFESORES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ASISTENCIA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Profesores!$L$3:$L$4</c:f>
              <c:strCache>
                <c:ptCount val="2"/>
                <c:pt idx="0">
                  <c:v>CENA</c:v>
                </c:pt>
                <c:pt idx="1">
                  <c:v>CENA+FIESTA</c:v>
                </c:pt>
              </c:strCache>
            </c:strRef>
          </c:cat>
          <c:val>
            <c:numRef>
              <c:f>Profesores!$M$3:$M$4</c:f>
              <c:numCache>
                <c:formatCode>General</c:formatCode>
                <c:ptCount val="2"/>
                <c:pt idx="0">
                  <c:v>27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52832FC3-13F1-41EE-B709-8E77D59C3E70}"/>
            </c:ext>
          </c:extLst>
        </c:ser>
        <c:ser>
          <c:idx val="1"/>
          <c:order val="1"/>
          <c:tx>
            <c:v>PAGOS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Profesores!$L$3:$L$4</c:f>
              <c:strCache>
                <c:ptCount val="2"/>
                <c:pt idx="0">
                  <c:v>CENA</c:v>
                </c:pt>
                <c:pt idx="1">
                  <c:v>CENA+FIESTA</c:v>
                </c:pt>
              </c:strCache>
            </c:strRef>
          </c:cat>
          <c:val>
            <c:numRef>
              <c:f>Profesores!$N$3:$N$4</c:f>
              <c:numCache>
                <c:formatCode>General</c:formatCode>
                <c:ptCount val="2"/>
                <c:pt idx="0">
                  <c:v>23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261A36D9-9D58-49CE-84EF-C778C7A39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30"/>
        <c:axId val="1136584200"/>
        <c:axId val="1136586248"/>
      </c:barChart>
      <c:catAx>
        <c:axId val="1136584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586248"/>
        <c:crosses val="autoZero"/>
        <c:auto val="1"/>
        <c:lblAlgn val="ctr"/>
        <c:lblOffset val="100"/>
        <c:noMultiLvlLbl val="0"/>
      </c:catAx>
      <c:valAx>
        <c:axId val="1136586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584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811678606448562"/>
          <c:y val="0.89285666357834415"/>
          <c:w val="0.3426889157103537"/>
          <c:h val="8.21173630668429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16</xdr:row>
      <xdr:rowOff>76200</xdr:rowOff>
    </xdr:from>
    <xdr:to>
      <xdr:col>11</xdr:col>
      <xdr:colOff>0</xdr:colOff>
      <xdr:row>27</xdr:row>
      <xdr:rowOff>114300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9BAC2E1-04FA-4E3B-A993-0B785F840B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400050</xdr:colOff>
      <xdr:row>30</xdr:row>
      <xdr:rowOff>95250</xdr:rowOff>
    </xdr:from>
    <xdr:to>
      <xdr:col>11</xdr:col>
      <xdr:colOff>9525</xdr:colOff>
      <xdr:row>41</xdr:row>
      <xdr:rowOff>114300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C917BAA-0C9A-4CF0-7B66-AE3B6202FEC6}"/>
            </a:ext>
            <a:ext uri="{147F2762-F138-4A5C-976F-8EAC2B608ADB}">
              <a16:predDERef xmlns:a16="http://schemas.microsoft.com/office/drawing/2014/main" pred="{39BAC2E1-04FA-4E3B-A993-0B785F840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542925</xdr:colOff>
      <xdr:row>8</xdr:row>
      <xdr:rowOff>66675</xdr:rowOff>
    </xdr:from>
    <xdr:to>
      <xdr:col>16</xdr:col>
      <xdr:colOff>19050</xdr:colOff>
      <xdr:row>22</xdr:row>
      <xdr:rowOff>9525</xdr:rowOff>
    </xdr:to>
    <xdr:graphicFrame macro="">
      <xdr:nvGraphicFramePr>
        <xdr:cNvPr id="2" name="Gráfico 1" descr="Tipo de gráfico: Columnas agrupadas. &quot;Campo2&quot;, &quot;Campo3&quot; por &quot;Campo1&quot;&#10;&#10;Descripción generada automáticamente">
          <a:extLst>
            <a:ext uri="{FF2B5EF4-FFF2-40B4-BE49-F238E27FC236}">
              <a16:creationId xmlns:a16="http://schemas.microsoft.com/office/drawing/2014/main" id="{61993D23-F7EB-52C9-E279-B94F419A2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XFControls"/>
  <bag type="XFComplement">
    <bagId k="XFControls">4</bagId>
  </bag>
  <bag type="DXFComplements" extRef="DXFComplementsMapperExtRef">
    <a k="MappedFeaturePropertyBags">
      <bagId>2</bagId>
      <bagId>5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7112EB-1ACF-4909-870A-B1CC505C2FE6}" name="Tabla3" displayName="Tabla3" ref="B2:H43" totalsRowCount="1" headerRowDxfId="46" dataDxfId="45">
  <autoFilter ref="B2:H42" xr:uid="{767112EB-1ACF-4909-870A-B1CC505C2FE6}"/>
  <sortState xmlns:xlrd2="http://schemas.microsoft.com/office/spreadsheetml/2017/richdata2" ref="B3:G44">
    <sortCondition ref="B2:B44"/>
  </sortState>
  <tableColumns count="7">
    <tableColumn id="1" xr3:uid="{87DDE440-3726-41E4-8ECB-517935B178E2}" name="NOMBRE" totalsRowFunction="custom" dataDxfId="43" totalsRowDxfId="44">
      <totalsRowFormula>COUNTA(B3:B42)</totalsRowFormula>
    </tableColumn>
    <tableColumn id="2" xr3:uid="{C51089A3-596E-4AFE-99BD-3E36E12778FD}" name="INVITADOS CENA+FIESTA" totalsRowFunction="custom" dataDxfId="41" totalsRowDxfId="42">
      <totalsRowFormula>SUBTOTAL(109,C3:C42)</totalsRowFormula>
    </tableColumn>
    <tableColumn id="7" xr3:uid="{6EB513D6-FA6A-4FC1-B7E0-9F51387EF3FA}" name="INVITADOS FIESTA" totalsRowFunction="custom" dataDxfId="39" totalsRowDxfId="40">
      <totalsRowFormula>SUBTOTAL(109,D3:D42)</totalsRowFormula>
    </tableColumn>
    <tableColumn id="6" xr3:uid="{9D65BD36-7AB5-4324-ABD2-586CC422DCDB}" name="BUS" totalsRowFunction="custom" dataDxfId="37" totalsRowDxfId="38">
      <totalsRowFormula>COUNTIF(E3:E42,"SI") + COUNTIF(E3:E42,"IDA") + COUNTIF(E3:E42,"VUELTA")</totalsRowFormula>
    </tableColumn>
    <tableColumn id="8" xr3:uid="{0BAE1C6A-6411-4D27-A1BF-90A969FA1207}" name="PLAZAS BUS" totalsRowFunction="custom" dataDxfId="35" totalsRowDxfId="36">
      <calculatedColumnFormula>IF(OR(Tabla3[[#This Row],[BUS]]="SI", Tabla3[[#This Row],[BUS]]="IDA", Tabla3[[#This Row],[BUS]]="VUELTA"), 1+Tabla3[[#This Row],[INVITADOS CENA+FIESTA]], 0)</calculatedColumnFormula>
      <totalsRowFormula>SUBTOTAL(109,F3:F42)</totalsRowFormula>
    </tableColumn>
    <tableColumn id="5" xr3:uid="{A0BD8FB1-B327-4A0A-AEF8-44AAC51536CC}" name="PAGADO" totalsRowFunction="custom" dataDxfId="33" totalsRowDxfId="34">
      <totalsRowFormula>COUNTIF(Tabla3[PAGADO],"VERDADERO") + COUNTIF(Tabla3[PAGADO],"VERDADERO")*C3 + COUNTIF(Tabla3[PAGADO],"VERDADERO")*D3</totalsRowFormula>
    </tableColumn>
    <tableColumn id="3" xr3:uid="{260BBA6F-8B65-4382-ABFD-AA6A3FFB535A}" name="TOTAL" totalsRowFunction="custom" dataDxfId="31" totalsRowDxfId="32">
      <calculatedColumnFormula xml:space="preserve"> (1+C3)*$K$3 + (D3*$K$4) + IF(E3="SI", F3*$K$7, IF(E3="IDA", F3*$K$8, 0))</calculatedColumnFormula>
      <totalsRowFormula>SUM(Tabla3[TOTAL])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38E117-8BE1-4C7F-92FA-8342FC0DC8E6}" name="Tabla1" displayName="Tabla1" ref="B2:E17" totalsRowShown="0" headerRowDxfId="17" dataDxfId="16">
  <autoFilter ref="B2:E17" xr:uid="{EE38E117-8BE1-4C7F-92FA-8342FC0DC8E6}">
    <filterColumn colId="0" hiddenButton="1"/>
    <filterColumn colId="1" hiddenButton="1"/>
    <filterColumn colId="2" hiddenButton="1"/>
    <filterColumn colId="3" hiddenButton="1"/>
  </autoFilter>
  <tableColumns count="4">
    <tableColumn id="1" xr3:uid="{EB6B7D87-E3ED-4811-AF4F-FA48323E6132}" name="NOMBRE" dataDxfId="15"/>
    <tableColumn id="2" xr3:uid="{FC59439F-716F-4F5D-B4A1-8C3BCFDAFF26}" name="DEPARTAMENTO" dataDxfId="14"/>
    <tableColumn id="3" xr3:uid="{F6847AD6-301A-4D77-AD81-F114E6171060}" name="ASISTENCIA" dataDxfId="13"/>
    <tableColumn id="4" xr3:uid="{897E45A4-D9F0-477F-9F30-B12A15A44E04}" name="PAGADO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D72044-8E79-435D-8EA5-15891F2515B5}" name="Tabla2" displayName="Tabla2" ref="B18:E48" totalsRowShown="0" headerRowDxfId="11" dataDxfId="10">
  <autoFilter ref="B18:E48" xr:uid="{31D72044-8E79-435D-8EA5-15891F2515B5}">
    <filterColumn colId="0" hiddenButton="1"/>
    <filterColumn colId="1" hiddenButton="1"/>
    <filterColumn colId="2" hiddenButton="1"/>
    <filterColumn colId="3" hiddenButton="1"/>
  </autoFilter>
  <tableColumns count="4">
    <tableColumn id="1" xr3:uid="{C4C615F0-E979-4A51-86C1-A1DCC2E0FC3C}" name="NOMBRE" dataDxfId="9"/>
    <tableColumn id="2" xr3:uid="{E80766AB-4D8C-4FE7-B017-468FBD761941}" name="DEPARTAMENTO" dataDxfId="8"/>
    <tableColumn id="3" xr3:uid="{05A74813-DDA5-4751-A774-BA37E97B0297}" name="ASISTENCIA" dataDxfId="7"/>
    <tableColumn id="4" xr3:uid="{832DCFF7-B18E-4958-90DC-F5D9BBB60A63}" name="PAGADO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D71B2-2D52-468B-A19F-34F8340D7DC3}" name="Tabla7" displayName="Tabla7" ref="G2:J67" totalsRowShown="0" headerRowDxfId="5" dataDxfId="4">
  <autoFilter ref="G2:J67" xr:uid="{7CED71B2-2D52-468B-A19F-34F8340D7DC3}">
    <filterColumn colId="0" hiddenButton="1"/>
    <filterColumn colId="1" hiddenButton="1"/>
    <filterColumn colId="2" hiddenButton="1"/>
    <filterColumn colId="3" hiddenButton="1"/>
  </autoFilter>
  <tableColumns count="4">
    <tableColumn id="1" xr3:uid="{603D6A0F-0F94-4D04-9E7B-2A32A1C588EA}" name="NOMBRE" dataDxfId="3"/>
    <tableColumn id="2" xr3:uid="{95EE810C-AB40-4EBE-B8ED-8AA5967CA173}" name="DEPARTAMENTO" dataDxfId="2"/>
    <tableColumn id="3" xr3:uid="{0E377415-8B6D-4B7E-8AF7-F8EFF2111937}" name="ASISTENCIA" dataDxfId="1"/>
    <tableColumn id="4" xr3:uid="{1CD4A8C5-76C5-48FB-9190-BB3D70AF17C1}" name="PAG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60"/>
  <sheetViews>
    <sheetView showGridLines="0" workbookViewId="0">
      <selection sqref="A1:L45"/>
    </sheetView>
  </sheetViews>
  <sheetFormatPr defaultColWidth="9.140625" defaultRowHeight="15"/>
  <cols>
    <col min="1" max="1" width="9.140625" style="1"/>
    <col min="2" max="2" width="12.42578125" style="1" customWidth="1"/>
    <col min="3" max="3" width="25.7109375" style="5" customWidth="1"/>
    <col min="4" max="4" width="20.7109375" style="5" customWidth="1"/>
    <col min="5" max="5" width="11.42578125" style="5" customWidth="1"/>
    <col min="6" max="6" width="12.85546875" style="4" customWidth="1"/>
    <col min="7" max="7" width="12.28515625" style="4" customWidth="1"/>
    <col min="8" max="8" width="14.85546875" style="1" customWidth="1"/>
    <col min="9" max="9" width="6.140625" style="1" customWidth="1"/>
    <col min="10" max="10" width="24.7109375" style="1" customWidth="1"/>
    <col min="11" max="11" width="15.7109375" style="1" customWidth="1"/>
    <col min="12" max="12" width="8.140625" style="1" customWidth="1"/>
    <col min="13" max="16383" width="9.140625" style="1"/>
    <col min="16384" max="16384" width="9.140625" style="1" bestFit="1" customWidth="1"/>
  </cols>
  <sheetData>
    <row r="1" spans="2:16">
      <c r="B1" s="2"/>
      <c r="F1" s="5"/>
      <c r="G1" s="5"/>
      <c r="P1" s="19" t="s">
        <v>0</v>
      </c>
    </row>
    <row r="2" spans="2:16">
      <c r="B2" s="3" t="s">
        <v>1</v>
      </c>
      <c r="C2" s="18" t="s">
        <v>2</v>
      </c>
      <c r="D2" s="18" t="s">
        <v>3</v>
      </c>
      <c r="E2" s="25" t="s">
        <v>4</v>
      </c>
      <c r="F2" s="25" t="s">
        <v>5</v>
      </c>
      <c r="G2" s="25" t="s">
        <v>6</v>
      </c>
      <c r="H2" s="3" t="s">
        <v>7</v>
      </c>
      <c r="J2" s="10"/>
      <c r="K2" s="11"/>
      <c r="P2" s="5" t="s">
        <v>8</v>
      </c>
    </row>
    <row r="3" spans="2:16">
      <c r="B3" s="1" t="s">
        <v>9</v>
      </c>
      <c r="C3" s="5">
        <v>0</v>
      </c>
      <c r="D3" s="5">
        <v>0</v>
      </c>
      <c r="E3" s="5" t="s">
        <v>8</v>
      </c>
      <c r="F3" s="5">
        <f>IF(OR(Tabla3[[#This Row],[BUS]]="SI", Tabla3[[#This Row],[BUS]]="IDA", Tabla3[[#This Row],[BUS]]="VUELTA"), 1+Tabla3[[#This Row],[INVITADOS CENA+FIESTA]], 0)</f>
        <v>1</v>
      </c>
      <c r="G3" s="6" t="b">
        <v>1</v>
      </c>
      <c r="H3" s="33">
        <f xml:space="preserve"> (1+C3)*$K$3 + (D3*$K$4) + IF(E3="SI", F3*$K$7, IF(E3="IDA", F3*$K$8, 0))</f>
        <v>106.5</v>
      </c>
      <c r="J3" s="9" t="s">
        <v>10</v>
      </c>
      <c r="K3" s="7">
        <v>94.5</v>
      </c>
      <c r="P3" s="5" t="s">
        <v>11</v>
      </c>
    </row>
    <row r="4" spans="2:16">
      <c r="B4" s="1" t="s">
        <v>9</v>
      </c>
      <c r="C4" s="5">
        <v>2</v>
      </c>
      <c r="D4" s="5">
        <v>0</v>
      </c>
      <c r="E4" s="5" t="s">
        <v>8</v>
      </c>
      <c r="F4" s="5">
        <f>IF(OR(Tabla3[[#This Row],[BUS]]="SI", Tabla3[[#This Row],[BUS]]="IDA", Tabla3[[#This Row],[BUS]]="VUELTA"), 1+Tabla3[[#This Row],[INVITADOS CENA+FIESTA]], 0)</f>
        <v>3</v>
      </c>
      <c r="G4" s="6" t="b">
        <v>0</v>
      </c>
      <c r="H4" s="33">
        <f xml:space="preserve"> (1+C4)*$K$3 + (D4*$K$4) + IF(E4="SI", F4*$K$7, IF(E4="IDA", F4*$K$8, 0))</f>
        <v>319.5</v>
      </c>
      <c r="J4" s="9" t="s">
        <v>12</v>
      </c>
      <c r="K4" s="8">
        <v>50</v>
      </c>
      <c r="P4" s="5" t="s">
        <v>13</v>
      </c>
    </row>
    <row r="5" spans="2:16">
      <c r="B5" s="1" t="s">
        <v>9</v>
      </c>
      <c r="C5" s="5">
        <v>0</v>
      </c>
      <c r="D5" s="5">
        <v>4</v>
      </c>
      <c r="E5" s="5" t="s">
        <v>14</v>
      </c>
      <c r="F5" s="5">
        <f>IF(OR(Tabla3[[#This Row],[BUS]]="SI", Tabla3[[#This Row],[BUS]]="IDA", Tabla3[[#This Row],[BUS]]="VUELTA"), 1+Tabla3[[#This Row],[INVITADOS CENA+FIESTA]], 0)</f>
        <v>0</v>
      </c>
      <c r="G5" s="6" t="b">
        <v>0</v>
      </c>
      <c r="H5" s="33">
        <f xml:space="preserve"> (1+C5)*$K$3 + (D5*$K$4) + IF(E5="SI", F5*$K$7, IF(E5="IDA", F5*$K$8, 0))</f>
        <v>294.5</v>
      </c>
      <c r="J5" s="12" t="s">
        <v>15</v>
      </c>
      <c r="K5" s="13">
        <v>43.5</v>
      </c>
      <c r="P5" s="5" t="s">
        <v>14</v>
      </c>
    </row>
    <row r="6" spans="2:16">
      <c r="B6" s="1" t="s">
        <v>9</v>
      </c>
      <c r="C6" s="5">
        <v>0</v>
      </c>
      <c r="D6" s="5">
        <v>0</v>
      </c>
      <c r="E6" s="5" t="s">
        <v>8</v>
      </c>
      <c r="F6" s="5">
        <f>IF(OR(Tabla3[[#This Row],[BUS]]="SI", Tabla3[[#This Row],[BUS]]="IDA", Tabla3[[#This Row],[BUS]]="VUELTA"), 1+Tabla3[[#This Row],[INVITADOS CENA+FIESTA]], 0)</f>
        <v>1</v>
      </c>
      <c r="G6" s="6" t="b">
        <v>1</v>
      </c>
      <c r="H6" s="33">
        <f xml:space="preserve"> (1+C6)*$K$3 + (D6*$K$4) + IF(E6="SI", F6*$K$7, IF(E6="IDA", F6*$K$8, 0))</f>
        <v>106.5</v>
      </c>
      <c r="J6" s="15"/>
      <c r="K6" s="15"/>
    </row>
    <row r="7" spans="2:16">
      <c r="B7" s="1" t="s">
        <v>9</v>
      </c>
      <c r="C7" s="5">
        <v>1</v>
      </c>
      <c r="D7" s="5">
        <v>0</v>
      </c>
      <c r="E7" s="5" t="s">
        <v>8</v>
      </c>
      <c r="F7" s="5">
        <f>IF(OR(Tabla3[[#This Row],[BUS]]="SI", Tabla3[[#This Row],[BUS]]="IDA", Tabla3[[#This Row],[BUS]]="VUELTA"), 1+Tabla3[[#This Row],[INVITADOS CENA+FIESTA]], 0)</f>
        <v>2</v>
      </c>
      <c r="G7" s="6" t="b">
        <v>0</v>
      </c>
      <c r="H7" s="33">
        <f xml:space="preserve"> (1+C7)*$K$3 + (D7*$K$4) + IF(E7="SI", F7*$K$7, IF(E7="IDA", F7*$K$8, 0))</f>
        <v>213</v>
      </c>
      <c r="J7" s="27" t="s">
        <v>16</v>
      </c>
      <c r="K7" s="28">
        <v>12</v>
      </c>
    </row>
    <row r="8" spans="2:16">
      <c r="B8" s="1" t="s">
        <v>9</v>
      </c>
      <c r="C8" s="5">
        <v>0</v>
      </c>
      <c r="D8" s="5">
        <v>0</v>
      </c>
      <c r="E8" s="5" t="s">
        <v>8</v>
      </c>
      <c r="F8" s="5">
        <f>IF(OR(Tabla3[[#This Row],[BUS]]="SI", Tabla3[[#This Row],[BUS]]="IDA", Tabla3[[#This Row],[BUS]]="VUELTA"), 1+Tabla3[[#This Row],[INVITADOS CENA+FIESTA]], 0)</f>
        <v>1</v>
      </c>
      <c r="G8" s="6" t="b">
        <v>1</v>
      </c>
      <c r="H8" s="33">
        <f xml:space="preserve"> (1+C8)*$K$3 + (D8*$K$4) + IF(E8="SI", F8*$K$7, IF(E8="IDA", F8*$K$8, 0))</f>
        <v>106.5</v>
      </c>
      <c r="J8" s="30" t="s">
        <v>17</v>
      </c>
      <c r="K8" s="29">
        <v>6</v>
      </c>
    </row>
    <row r="9" spans="2:16">
      <c r="B9" s="1" t="s">
        <v>9</v>
      </c>
      <c r="C9" s="5">
        <v>1</v>
      </c>
      <c r="D9" s="5">
        <v>0</v>
      </c>
      <c r="E9" s="5" t="s">
        <v>11</v>
      </c>
      <c r="F9" s="5">
        <f>IF(OR(Tabla3[[#This Row],[BUS]]="SI", Tabla3[[#This Row],[BUS]]="IDA", Tabla3[[#This Row],[BUS]]="VUELTA"), 1+Tabla3[[#This Row],[INVITADOS CENA+FIESTA]], 0)</f>
        <v>2</v>
      </c>
      <c r="G9" s="6" t="b">
        <v>0</v>
      </c>
      <c r="H9" s="33">
        <f xml:space="preserve"> (1+C9)*$K$3 + (D9*$K$4) + IF(E9="SI", F9*$K$7, IF(E9="IDA", F9*$K$8, 0))</f>
        <v>201</v>
      </c>
    </row>
    <row r="10" spans="2:16">
      <c r="B10" s="1" t="s">
        <v>9</v>
      </c>
      <c r="C10" s="5">
        <v>0</v>
      </c>
      <c r="D10" s="5">
        <v>0</v>
      </c>
      <c r="E10" s="5" t="s">
        <v>8</v>
      </c>
      <c r="F10" s="5">
        <f>IF(OR(Tabla3[[#This Row],[BUS]]="SI", Tabla3[[#This Row],[BUS]]="IDA", Tabla3[[#This Row],[BUS]]="VUELTA"), 1+Tabla3[[#This Row],[INVITADOS CENA+FIESTA]], 0)</f>
        <v>1</v>
      </c>
      <c r="G10" s="6" t="b">
        <v>1</v>
      </c>
      <c r="H10" s="33">
        <f xml:space="preserve"> (1+C10)*$K$3 + (D10*$K$4) + IF(E10="SI", F10*$K$7, IF(E10="IDA", F10*$K$8, 0))</f>
        <v>106.5</v>
      </c>
      <c r="J10" s="31" t="s">
        <v>18</v>
      </c>
      <c r="K10" s="32">
        <f>Tabla3[[#Totals],[NOMBRE]]+Tabla3[[#Totals],[INVITADOS CENA+FIESTA]]</f>
        <v>54</v>
      </c>
    </row>
    <row r="11" spans="2:16">
      <c r="B11" s="1" t="s">
        <v>9</v>
      </c>
      <c r="C11" s="5">
        <v>0</v>
      </c>
      <c r="D11" s="5">
        <v>3</v>
      </c>
      <c r="E11" s="5" t="s">
        <v>14</v>
      </c>
      <c r="F11" s="5">
        <f>IF(OR(Tabla3[[#This Row],[BUS]]="SI", Tabla3[[#This Row],[BUS]]="IDA", Tabla3[[#This Row],[BUS]]="VUELTA"), 1+Tabla3[[#This Row],[INVITADOS CENA+FIESTA]], 0)</f>
        <v>0</v>
      </c>
      <c r="G11" s="6" t="b">
        <v>0</v>
      </c>
      <c r="H11" s="33">
        <f xml:space="preserve"> (1+C11)*$K$3 + (D11*$K$4) + IF(E11="SI", F11*$K$7, IF(E11="IDA", F11*$K$8, 0))</f>
        <v>244.5</v>
      </c>
      <c r="J11" s="14" t="s">
        <v>19</v>
      </c>
      <c r="K11" s="1">
        <f>Tabla3[[#Totals],[INVITADOS FIESTA]]</f>
        <v>11</v>
      </c>
    </row>
    <row r="12" spans="2:16">
      <c r="B12" s="1" t="s">
        <v>9</v>
      </c>
      <c r="C12" s="5">
        <v>1</v>
      </c>
      <c r="D12" s="5">
        <v>0</v>
      </c>
      <c r="E12" s="5" t="s">
        <v>8</v>
      </c>
      <c r="F12" s="5">
        <f>IF(OR(Tabla3[[#This Row],[BUS]]="SI", Tabla3[[#This Row],[BUS]]="IDA", Tabla3[[#This Row],[BUS]]="VUELTA"), 1+Tabla3[[#This Row],[INVITADOS CENA+FIESTA]], 0)</f>
        <v>2</v>
      </c>
      <c r="G12" s="6" t="b">
        <v>0</v>
      </c>
      <c r="H12" s="33">
        <f xml:space="preserve"> (1+C12)*$K$3 + (D12*$K$4) + IF(E12="SI", F12*$K$7, IF(E12="IDA", F12*$K$8, 0))</f>
        <v>213</v>
      </c>
      <c r="J12" s="26" t="s">
        <v>20</v>
      </c>
      <c r="K12" s="43">
        <f>Tabla3[[#Totals],[PLAZAS BUS]]</f>
        <v>38</v>
      </c>
    </row>
    <row r="13" spans="2:16">
      <c r="B13" s="1" t="s">
        <v>9</v>
      </c>
      <c r="C13" s="5">
        <v>0</v>
      </c>
      <c r="D13" s="5">
        <v>0</v>
      </c>
      <c r="E13" s="5" t="s">
        <v>14</v>
      </c>
      <c r="F13" s="5">
        <f>IF(OR(Tabla3[[#This Row],[BUS]]="SI", Tabla3[[#This Row],[BUS]]="IDA", Tabla3[[#This Row],[BUS]]="VUELTA"), 1+Tabla3[[#This Row],[INVITADOS CENA+FIESTA]], 0)</f>
        <v>0</v>
      </c>
      <c r="G13" s="6" t="b">
        <v>1</v>
      </c>
      <c r="H13" s="33">
        <f xml:space="preserve"> (1+C13)*$K$3 + (D13*$K$4) + IF(E13="SI", F13*$K$7, IF(E13="IDA", F13*$K$8, 0))</f>
        <v>94.5</v>
      </c>
    </row>
    <row r="14" spans="2:16">
      <c r="B14" s="1" t="s">
        <v>9</v>
      </c>
      <c r="C14" s="5">
        <v>0</v>
      </c>
      <c r="D14" s="5">
        <v>0</v>
      </c>
      <c r="E14" s="5" t="s">
        <v>14</v>
      </c>
      <c r="F14" s="5">
        <f>IF(OR(Tabla3[[#This Row],[BUS]]="SI", Tabla3[[#This Row],[BUS]]="IDA", Tabla3[[#This Row],[BUS]]="VUELTA"), 1+Tabla3[[#This Row],[INVITADOS CENA+FIESTA]], 0)</f>
        <v>0</v>
      </c>
      <c r="G14" s="6" t="b">
        <v>1</v>
      </c>
      <c r="H14" s="34">
        <f xml:space="preserve"> (1+C14)*$K$3 + (D14*$K$4) + IF(E14="SI", F14*$K$7, IF(E14="IDA", F14*$K$8, 0))</f>
        <v>94.5</v>
      </c>
      <c r="I14" s="2"/>
      <c r="J14" s="31" t="s">
        <v>7</v>
      </c>
      <c r="K14" s="35">
        <f>Tabla3[[#Totals],[TOTAL]]+Profesores!M7</f>
        <v>8601</v>
      </c>
    </row>
    <row r="15" spans="2:16">
      <c r="B15" s="1" t="s">
        <v>9</v>
      </c>
      <c r="C15" s="5">
        <v>0</v>
      </c>
      <c r="D15" s="5">
        <v>0</v>
      </c>
      <c r="E15" s="5" t="s">
        <v>8</v>
      </c>
      <c r="F15" s="5">
        <f>IF(OR(Tabla3[[#This Row],[BUS]]="SI", Tabla3[[#This Row],[BUS]]="IDA", Tabla3[[#This Row],[BUS]]="VUELTA"), 1+Tabla3[[#This Row],[INVITADOS CENA+FIESTA]], 0)</f>
        <v>1</v>
      </c>
      <c r="G15" s="6" t="b">
        <v>0</v>
      </c>
      <c r="H15" s="33">
        <f xml:space="preserve"> (1+C15)*$K$3 + (D15*$K$4) + IF(E15="SI", F15*$K$7, IF(E15="IDA", F15*$K$8, 0))</f>
        <v>106.5</v>
      </c>
      <c r="J15" s="14" t="s">
        <v>21</v>
      </c>
      <c r="K15" s="40">
        <f>SUMIF(Estudiantes!G3:G42, TRUE, Estudiantes!H3:H42) + (Profesores!N3 * 43.5) + (Profesores!N4 * 94.5)</f>
        <v>4902</v>
      </c>
    </row>
    <row r="16" spans="2:16">
      <c r="B16" s="1" t="s">
        <v>9</v>
      </c>
      <c r="C16" s="5">
        <v>0</v>
      </c>
      <c r="D16" s="5">
        <v>0</v>
      </c>
      <c r="E16" s="5" t="s">
        <v>8</v>
      </c>
      <c r="F16" s="5">
        <f>IF(OR(Tabla3[[#This Row],[BUS]]="SI", Tabla3[[#This Row],[BUS]]="IDA", Tabla3[[#This Row],[BUS]]="VUELTA"), 1+Tabla3[[#This Row],[INVITADOS CENA+FIESTA]], 0)</f>
        <v>1</v>
      </c>
      <c r="G16" s="6" t="b">
        <v>1</v>
      </c>
      <c r="H16" s="33">
        <f xml:space="preserve"> (1+C16)*$K$3 + (D16*$K$4) + IF(E16="SI", F16*$K$7, IF(E16="IDA", F16*$K$8, 0))</f>
        <v>106.5</v>
      </c>
      <c r="J16" s="41" t="s">
        <v>22</v>
      </c>
      <c r="K16" s="36">
        <f>K14-K15</f>
        <v>3699</v>
      </c>
    </row>
    <row r="17" spans="2:11">
      <c r="B17" s="1" t="s">
        <v>9</v>
      </c>
      <c r="C17" s="5">
        <v>1</v>
      </c>
      <c r="D17" s="5">
        <v>0</v>
      </c>
      <c r="E17" s="5" t="s">
        <v>8</v>
      </c>
      <c r="F17" s="5">
        <f>IF(OR(Tabla3[[#This Row],[BUS]]="SI", Tabla3[[#This Row],[BUS]]="IDA", Tabla3[[#This Row],[BUS]]="VUELTA"), 1+Tabla3[[#This Row],[INVITADOS CENA+FIESTA]], 0)</f>
        <v>2</v>
      </c>
      <c r="G17" s="6" t="b">
        <v>1</v>
      </c>
      <c r="H17" s="33">
        <f xml:space="preserve"> (1+C17)*$K$3 + (D17*$K$4) + IF(E17="SI", F17*$K$7, IF(E17="IDA", F17*$K$8, 0))</f>
        <v>213</v>
      </c>
    </row>
    <row r="18" spans="2:11">
      <c r="B18" s="1" t="s">
        <v>9</v>
      </c>
      <c r="C18" s="5">
        <v>0</v>
      </c>
      <c r="D18" s="5">
        <v>0</v>
      </c>
      <c r="E18" s="5" t="s">
        <v>14</v>
      </c>
      <c r="F18" s="5">
        <f>IF(OR(Tabla3[[#This Row],[BUS]]="SI", Tabla3[[#This Row],[BUS]]="IDA", Tabla3[[#This Row],[BUS]]="VUELTA"), 1+Tabla3[[#This Row],[INVITADOS CENA+FIESTA]], 0)</f>
        <v>0</v>
      </c>
      <c r="G18" s="6" t="b">
        <v>1</v>
      </c>
      <c r="H18" s="33">
        <f xml:space="preserve"> (1+C18)*$K$3 + (D18*$K$4) + IF(E18="SI", F18*$K$7, IF(E18="IDA", F18*$K$8, 0))</f>
        <v>94.5</v>
      </c>
    </row>
    <row r="19" spans="2:11">
      <c r="B19" s="1" t="s">
        <v>9</v>
      </c>
      <c r="C19" s="5">
        <v>0</v>
      </c>
      <c r="D19" s="5">
        <v>0</v>
      </c>
      <c r="E19" s="5" t="s">
        <v>8</v>
      </c>
      <c r="F19" s="5">
        <f>IF(OR(Tabla3[[#This Row],[BUS]]="SI", Tabla3[[#This Row],[BUS]]="IDA", Tabla3[[#This Row],[BUS]]="VUELTA"), 1+Tabla3[[#This Row],[INVITADOS CENA+FIESTA]], 0)</f>
        <v>1</v>
      </c>
      <c r="G19" s="6" t="b">
        <v>1</v>
      </c>
      <c r="H19" s="33">
        <f xml:space="preserve"> (1+C19)*$K$3 + (D19*$K$4) + IF(E19="SI", F19*$K$7, IF(E19="IDA", F19*$K$8, 0))</f>
        <v>106.5</v>
      </c>
    </row>
    <row r="20" spans="2:11">
      <c r="B20" s="1" t="s">
        <v>9</v>
      </c>
      <c r="C20" s="5">
        <v>1</v>
      </c>
      <c r="D20" s="5">
        <v>0</v>
      </c>
      <c r="E20" s="5" t="s">
        <v>8</v>
      </c>
      <c r="F20" s="5">
        <f>IF(OR(Tabla3[[#This Row],[BUS]]="SI", Tabla3[[#This Row],[BUS]]="IDA", Tabla3[[#This Row],[BUS]]="VUELTA"), 1+Tabla3[[#This Row],[INVITADOS CENA+FIESTA]], 0)</f>
        <v>2</v>
      </c>
      <c r="G20" s="6" t="b">
        <v>1</v>
      </c>
      <c r="H20" s="33">
        <f xml:space="preserve"> (1+C20)*$K$3 + (D20*$K$4) + IF(E20="SI", F20*$K$7, IF(E20="IDA", F20*$K$8, 0))</f>
        <v>213</v>
      </c>
    </row>
    <row r="21" spans="2:11">
      <c r="B21" s="1" t="s">
        <v>9</v>
      </c>
      <c r="C21" s="5">
        <v>0</v>
      </c>
      <c r="D21" s="5">
        <v>0</v>
      </c>
      <c r="E21" s="5" t="s">
        <v>8</v>
      </c>
      <c r="F21" s="5">
        <f>IF(OR(Tabla3[[#This Row],[BUS]]="SI", Tabla3[[#This Row],[BUS]]="IDA", Tabla3[[#This Row],[BUS]]="VUELTA"), 1+Tabla3[[#This Row],[INVITADOS CENA+FIESTA]], 0)</f>
        <v>1</v>
      </c>
      <c r="G21" s="6" t="b">
        <v>0</v>
      </c>
      <c r="H21" s="33">
        <f xml:space="preserve"> (1+C21)*$K$3 + (D21*$K$4) + IF(E21="SI", F21*$K$7, IF(E21="IDA", F21*$K$8, 0))</f>
        <v>106.5</v>
      </c>
    </row>
    <row r="22" spans="2:11">
      <c r="B22" s="1" t="s">
        <v>9</v>
      </c>
      <c r="C22" s="5">
        <v>3</v>
      </c>
      <c r="D22" s="5">
        <v>0</v>
      </c>
      <c r="E22" s="5" t="s">
        <v>8</v>
      </c>
      <c r="F22" s="5">
        <f>IF(OR(Tabla3[[#This Row],[BUS]]="SI", Tabla3[[#This Row],[BUS]]="IDA", Tabla3[[#This Row],[BUS]]="VUELTA"), 1+Tabla3[[#This Row],[INVITADOS CENA+FIESTA]], 0)</f>
        <v>4</v>
      </c>
      <c r="G22" s="6" t="b">
        <v>1</v>
      </c>
      <c r="H22" s="33">
        <f xml:space="preserve"> (1+C22)*$K$3 + (D22*$K$4) + IF(E22="SI", F22*$K$7, IF(E22="IDA", F22*$K$8, 0))</f>
        <v>426</v>
      </c>
    </row>
    <row r="23" spans="2:11">
      <c r="B23" s="1" t="s">
        <v>9</v>
      </c>
      <c r="C23" s="5">
        <v>0</v>
      </c>
      <c r="D23" s="5">
        <v>0</v>
      </c>
      <c r="E23" s="5" t="s">
        <v>14</v>
      </c>
      <c r="F23" s="5">
        <f>IF(OR(Tabla3[[#This Row],[BUS]]="SI", Tabla3[[#This Row],[BUS]]="IDA", Tabla3[[#This Row],[BUS]]="VUELTA"), 1+Tabla3[[#This Row],[INVITADOS CENA+FIESTA]], 0)</f>
        <v>0</v>
      </c>
      <c r="G23" s="6" t="b">
        <v>0</v>
      </c>
      <c r="H23" s="33">
        <f xml:space="preserve"> (1+C23)*$K$3 + (D23*$K$4) + IF(E23="SI", F23*$K$7, IF(E23="IDA", F23*$K$8, 0))</f>
        <v>94.5</v>
      </c>
    </row>
    <row r="24" spans="2:11" hidden="1">
      <c r="B24" s="1" t="s">
        <v>9</v>
      </c>
      <c r="C24" s="5">
        <v>0</v>
      </c>
      <c r="D24" s="5">
        <v>4</v>
      </c>
      <c r="E24" s="5" t="s">
        <v>8</v>
      </c>
      <c r="F24" s="5">
        <f>IF(OR(Tabla3[[#This Row],[BUS]]="SI", Tabla3[[#This Row],[BUS]]="IDA", Tabla3[[#This Row],[BUS]]="VUELTA"), 1+Tabla3[[#This Row],[INVITADOS CENA+FIESTA]], 0)</f>
        <v>1</v>
      </c>
      <c r="G24" s="6" t="b">
        <v>1</v>
      </c>
      <c r="H24" s="33">
        <f xml:space="preserve"> (1+C24)*$K$3 + (D24*$K$4) + IF(E24="SI", F24*$K$7, IF(E24="IDA", F24*$K$8, 0))</f>
        <v>306.5</v>
      </c>
    </row>
    <row r="25" spans="2:11" hidden="1">
      <c r="B25" s="1" t="s">
        <v>9</v>
      </c>
      <c r="C25" s="5">
        <v>2</v>
      </c>
      <c r="D25" s="5">
        <v>0</v>
      </c>
      <c r="E25" s="5" t="s">
        <v>8</v>
      </c>
      <c r="F25" s="5">
        <f>IF(OR(Tabla3[[#This Row],[BUS]]="SI", Tabla3[[#This Row],[BUS]]="IDA", Tabla3[[#This Row],[BUS]]="VUELTA"), 1+Tabla3[[#This Row],[INVITADOS CENA+FIESTA]], 0)</f>
        <v>3</v>
      </c>
      <c r="G25" s="6" t="b">
        <v>0</v>
      </c>
      <c r="H25" s="33">
        <f xml:space="preserve"> (1+C25)*$K$3 + (D25*$K$4) + IF(E25="SI", F25*$K$7, IF(E25="IDA", F25*$K$8, 0))</f>
        <v>319.5</v>
      </c>
    </row>
    <row r="26" spans="2:11" hidden="1">
      <c r="B26" s="1" t="s">
        <v>9</v>
      </c>
      <c r="C26" s="5">
        <v>0</v>
      </c>
      <c r="D26" s="5">
        <v>0</v>
      </c>
      <c r="E26" s="5" t="s">
        <v>8</v>
      </c>
      <c r="F26" s="5">
        <f>IF(OR(Tabla3[[#This Row],[BUS]]="SI", Tabla3[[#This Row],[BUS]]="IDA", Tabla3[[#This Row],[BUS]]="VUELTA"), 1+Tabla3[[#This Row],[INVITADOS CENA+FIESTA]], 0)</f>
        <v>1</v>
      </c>
      <c r="G26" s="6" t="b">
        <v>0</v>
      </c>
      <c r="H26" s="33">
        <f xml:space="preserve"> (1+C26)*$K$3 + (D26*$K$4) + IF(E26="SI", F26*$K$7, IF(E26="IDA", F26*$K$8, 0))</f>
        <v>106.5</v>
      </c>
    </row>
    <row r="27" spans="2:11">
      <c r="B27" s="1" t="s">
        <v>9</v>
      </c>
      <c r="C27" s="5">
        <v>1</v>
      </c>
      <c r="D27" s="5">
        <v>0</v>
      </c>
      <c r="E27" s="5" t="s">
        <v>8</v>
      </c>
      <c r="F27" s="5">
        <f>IF(OR(Tabla3[[#This Row],[BUS]]="SI", Tabla3[[#This Row],[BUS]]="IDA", Tabla3[[#This Row],[BUS]]="VUELTA"), 1+Tabla3[[#This Row],[INVITADOS CENA+FIESTA]], 0)</f>
        <v>2</v>
      </c>
      <c r="G27" s="6" t="b">
        <v>1</v>
      </c>
      <c r="H27" s="33">
        <f xml:space="preserve"> (1+C27)*$K$3 + (D27*$K$4) + IF(E27="SI", F27*$K$7, IF(E27="IDA", F27*$K$8, 0))</f>
        <v>213</v>
      </c>
    </row>
    <row r="28" spans="2:11">
      <c r="B28" s="1" t="s">
        <v>9</v>
      </c>
      <c r="C28" s="5">
        <v>0</v>
      </c>
      <c r="D28" s="5">
        <v>0</v>
      </c>
      <c r="E28" s="5" t="s">
        <v>8</v>
      </c>
      <c r="F28" s="5">
        <f>IF(OR(Tabla3[[#This Row],[BUS]]="SI", Tabla3[[#This Row],[BUS]]="IDA", Tabla3[[#This Row],[BUS]]="VUELTA"), 1+Tabla3[[#This Row],[INVITADOS CENA+FIESTA]], 0)</f>
        <v>1</v>
      </c>
      <c r="G28" s="6" t="b">
        <v>1</v>
      </c>
      <c r="H28" s="33">
        <f xml:space="preserve"> (1+C28)*$K$3 + (D28*$K$4) + IF(E28="SI", F28*$K$7, IF(E28="IDA", F28*$K$8, 0))</f>
        <v>106.5</v>
      </c>
    </row>
    <row r="29" spans="2:11">
      <c r="B29" s="1" t="s">
        <v>9</v>
      </c>
      <c r="C29" s="5">
        <v>0</v>
      </c>
      <c r="D29" s="5">
        <v>0</v>
      </c>
      <c r="E29" s="5" t="s">
        <v>8</v>
      </c>
      <c r="F29" s="5">
        <f>IF(OR(Tabla3[[#This Row],[BUS]]="SI", Tabla3[[#This Row],[BUS]]="IDA", Tabla3[[#This Row],[BUS]]="VUELTA"), 1+Tabla3[[#This Row],[INVITADOS CENA+FIESTA]], 0)</f>
        <v>1</v>
      </c>
      <c r="G29" s="6" t="b">
        <v>0</v>
      </c>
      <c r="H29" s="33">
        <f xml:space="preserve"> (1+C29)*$K$3 + (D29*$K$4) + IF(E29="SI", F29*$K$7, IF(E29="IDA", F29*$K$8, 0))</f>
        <v>106.5</v>
      </c>
      <c r="J29" s="44" t="s">
        <v>6</v>
      </c>
      <c r="K29" s="32">
        <f>Tabla3[[#Totals],[PAGADO]] + Profesores!N3 + Profesores!N4</f>
        <v>51</v>
      </c>
    </row>
    <row r="30" spans="2:11">
      <c r="B30" s="1" t="s">
        <v>9</v>
      </c>
      <c r="C30" s="5">
        <v>0</v>
      </c>
      <c r="D30" s="5">
        <v>0</v>
      </c>
      <c r="E30" s="5" t="s">
        <v>8</v>
      </c>
      <c r="F30" s="5">
        <f>IF(OR(Tabla3[[#This Row],[BUS]]="SI", Tabla3[[#This Row],[BUS]]="IDA", Tabla3[[#This Row],[BUS]]="VUELTA"), 1+Tabla3[[#This Row],[INVITADOS CENA+FIESTA]], 0)</f>
        <v>1</v>
      </c>
      <c r="G30" s="6" t="b">
        <v>1</v>
      </c>
      <c r="H30" s="33">
        <f xml:space="preserve"> (1+C30)*$K$3 + (D30*$K$4) + IF(E30="SI", F30*$K$7, IF(E30="IDA", F30*$K$8, 0))</f>
        <v>106.5</v>
      </c>
      <c r="J30" s="30" t="s">
        <v>23</v>
      </c>
      <c r="K30" s="15">
        <f xml:space="preserve"> Tabla3[[#Totals],[NOMBRE]] + Profesores!M3 + Profesores!M4 - Estudiantes!K29</f>
        <v>24</v>
      </c>
    </row>
    <row r="31" spans="2:11">
      <c r="B31" s="1" t="s">
        <v>9</v>
      </c>
      <c r="C31" s="5">
        <v>1</v>
      </c>
      <c r="D31" s="5">
        <v>0</v>
      </c>
      <c r="E31" s="5" t="s">
        <v>8</v>
      </c>
      <c r="F31" s="5">
        <f>IF(OR(Tabla3[[#This Row],[BUS]]="SI", Tabla3[[#This Row],[BUS]]="IDA", Tabla3[[#This Row],[BUS]]="VUELTA"), 1+Tabla3[[#This Row],[INVITADOS CENA+FIESTA]], 0)</f>
        <v>2</v>
      </c>
      <c r="G31" s="6" t="b">
        <v>1</v>
      </c>
      <c r="H31" s="33">
        <f xml:space="preserve"> (1+C31)*$K$3 + (D31*$K$4) + IF(E31="SI", F31*$K$7, IF(E31="IDA", F31*$K$8, 0))</f>
        <v>213</v>
      </c>
    </row>
    <row r="32" spans="2:11">
      <c r="B32" s="1" t="s">
        <v>9</v>
      </c>
      <c r="C32" s="5">
        <v>1</v>
      </c>
      <c r="D32" s="5">
        <v>0</v>
      </c>
      <c r="E32" s="5" t="s">
        <v>14</v>
      </c>
      <c r="F32" s="5">
        <f>IF(OR(Tabla3[[#This Row],[BUS]]="SI", Tabla3[[#This Row],[BUS]]="IDA", Tabla3[[#This Row],[BUS]]="VUELTA"), 1+Tabla3[[#This Row],[INVITADOS CENA+FIESTA]], 0)</f>
        <v>0</v>
      </c>
      <c r="G32" s="6" t="b">
        <v>0</v>
      </c>
      <c r="H32" s="33">
        <f xml:space="preserve"> (1+C32)*$K$3 + (D32*$K$4) + IF(E32="SI", F32*$K$7, IF(E32="IDA", F32*$K$8, 0))</f>
        <v>189</v>
      </c>
    </row>
    <row r="33" spans="2:8">
      <c r="B33" s="1" t="s">
        <v>9</v>
      </c>
      <c r="C33" s="5">
        <v>0</v>
      </c>
      <c r="D33" s="5">
        <v>1</v>
      </c>
      <c r="E33" s="5" t="s">
        <v>8</v>
      </c>
      <c r="F33" s="5">
        <f>IF(OR(Tabla3[[#This Row],[BUS]]="SI", Tabla3[[#This Row],[BUS]]="IDA", Tabla3[[#This Row],[BUS]]="VUELTA"), 1+Tabla3[[#This Row],[INVITADOS CENA+FIESTA]], 0)</f>
        <v>1</v>
      </c>
      <c r="G33" s="6" t="b">
        <v>1</v>
      </c>
      <c r="H33" s="33">
        <f xml:space="preserve"> (1+C33)*$K$3 + (D33*$K$4) + IF(E33="SI", F33*$K$7, IF(E33="IDA", F33*$K$8, 0))</f>
        <v>156.5</v>
      </c>
    </row>
    <row r="34" spans="2:8">
      <c r="B34" s="1" t="s">
        <v>9</v>
      </c>
      <c r="C34" s="5">
        <v>1</v>
      </c>
      <c r="D34" s="5">
        <v>0</v>
      </c>
      <c r="E34" s="5" t="s">
        <v>8</v>
      </c>
      <c r="F34" s="5">
        <f>IF(OR(Tabla3[[#This Row],[BUS]]="SI", Tabla3[[#This Row],[BUS]]="IDA", Tabla3[[#This Row],[BUS]]="VUELTA"), 1+Tabla3[[#This Row],[INVITADOS CENA+FIESTA]], 0)</f>
        <v>2</v>
      </c>
      <c r="G34" s="6" t="b">
        <v>0</v>
      </c>
      <c r="H34" s="33">
        <f xml:space="preserve"> (1+C34)*$K$3 + (D34*$K$4) + IF(E34="SI", F34*$K$7, IF(E34="IDA", F34*$K$8, 0))</f>
        <v>213</v>
      </c>
    </row>
    <row r="35" spans="2:8">
      <c r="B35" s="1" t="s">
        <v>9</v>
      </c>
      <c r="C35" s="5">
        <v>0</v>
      </c>
      <c r="D35" s="5">
        <v>0</v>
      </c>
      <c r="E35" s="5" t="s">
        <v>14</v>
      </c>
      <c r="F35" s="5">
        <f>IF(OR(Tabla3[[#This Row],[BUS]]="SI", Tabla3[[#This Row],[BUS]]="IDA", Tabla3[[#This Row],[BUS]]="VUELTA"), 1+Tabla3[[#This Row],[INVITADOS CENA+FIESTA]], 0)</f>
        <v>0</v>
      </c>
      <c r="G35" s="6" t="b">
        <v>0</v>
      </c>
      <c r="H35" s="33">
        <f xml:space="preserve"> (1+C35)*$K$3 + (D35*$K$4) + IF(E35="SI", F35*$K$7, IF(E35="IDA", F35*$K$8, 0))</f>
        <v>94.5</v>
      </c>
    </row>
    <row r="36" spans="2:8">
      <c r="B36" s="1" t="s">
        <v>9</v>
      </c>
      <c r="C36" s="5">
        <v>0</v>
      </c>
      <c r="D36" s="5">
        <v>2</v>
      </c>
      <c r="E36" s="5" t="s">
        <v>14</v>
      </c>
      <c r="F36" s="5">
        <f>IF(OR(Tabla3[[#This Row],[BUS]]="SI", Tabla3[[#This Row],[BUS]]="IDA", Tabla3[[#This Row],[BUS]]="VUELTA"), 1+Tabla3[[#This Row],[INVITADOS CENA+FIESTA]], 0)</f>
        <v>0</v>
      </c>
      <c r="G36" s="6" t="b">
        <v>0</v>
      </c>
      <c r="H36" s="33">
        <f xml:space="preserve"> (1+C36)*$K$3 + (D36*$K$4) + IF(E36="SI", F36*$K$7, IF(E36="IDA", F36*$K$8, 0))</f>
        <v>194.5</v>
      </c>
    </row>
    <row r="37" spans="2:8">
      <c r="B37" s="1" t="s">
        <v>9</v>
      </c>
      <c r="C37" s="5">
        <v>0</v>
      </c>
      <c r="D37" s="5">
        <v>0</v>
      </c>
      <c r="E37" s="5" t="s">
        <v>8</v>
      </c>
      <c r="F37" s="5">
        <f>IF(OR(Tabla3[[#This Row],[BUS]]="SI", Tabla3[[#This Row],[BUS]]="IDA", Tabla3[[#This Row],[BUS]]="VUELTA"), 1+Tabla3[[#This Row],[INVITADOS CENA+FIESTA]], 0)</f>
        <v>1</v>
      </c>
      <c r="G37" s="6" t="b">
        <v>0</v>
      </c>
      <c r="H37" s="33">
        <f xml:space="preserve"> (1+C37)*$K$3 + (D37*$K$4) + IF(E37="SI", F37*$K$7, IF(E37="IDA", F37*$K$8, 0))</f>
        <v>106.5</v>
      </c>
    </row>
    <row r="38" spans="2:8" hidden="1">
      <c r="B38" s="1" t="s">
        <v>9</v>
      </c>
      <c r="C38" s="5">
        <v>0</v>
      </c>
      <c r="D38" s="5">
        <v>0</v>
      </c>
      <c r="E38" s="5" t="s">
        <v>14</v>
      </c>
      <c r="F38" s="5">
        <f>IF(OR(Tabla3[[#This Row],[BUS]]="SI", Tabla3[[#This Row],[BUS]]="IDA", Tabla3[[#This Row],[BUS]]="VUELTA"), 1+Tabla3[[#This Row],[INVITADOS CENA+FIESTA]], 0)</f>
        <v>0</v>
      </c>
      <c r="G38" s="6" t="b">
        <v>1</v>
      </c>
      <c r="H38" s="33">
        <f xml:space="preserve"> (1+C38)*$K$3 + (D38*$K$4) + IF(E38="SI", F38*$K$7, IF(E38="IDA", F38*$K$8, 0))</f>
        <v>94.5</v>
      </c>
    </row>
    <row r="39" spans="2:8" hidden="1">
      <c r="B39" s="1" t="s">
        <v>9</v>
      </c>
      <c r="C39" s="5">
        <v>1</v>
      </c>
      <c r="D39" s="5">
        <v>0</v>
      </c>
      <c r="E39" s="5" t="s">
        <v>8</v>
      </c>
      <c r="F39" s="5">
        <f>IF(OR(Tabla3[[#This Row],[BUS]]="SI", Tabla3[[#This Row],[BUS]]="IDA", Tabla3[[#This Row],[BUS]]="VUELTA"), 1+Tabla3[[#This Row],[INVITADOS CENA+FIESTA]], 0)</f>
        <v>2</v>
      </c>
      <c r="G39" s="6" t="b">
        <v>0</v>
      </c>
      <c r="H39" s="33">
        <f xml:space="preserve"> (1+C39)*$K$3 + (D39*$K$4) + IF(E39="SI", F39*$K$7, IF(E39="IDA", F39*$K$8, 0))</f>
        <v>213</v>
      </c>
    </row>
    <row r="40" spans="2:8" hidden="1">
      <c r="B40" s="1" t="s">
        <v>9</v>
      </c>
      <c r="C40" s="5">
        <v>0</v>
      </c>
      <c r="D40" s="5">
        <v>0</v>
      </c>
      <c r="E40" s="5" t="s">
        <v>8</v>
      </c>
      <c r="F40" s="5">
        <f>IF(OR(Tabla3[[#This Row],[BUS]]="SI", Tabla3[[#This Row],[BUS]]="IDA", Tabla3[[#This Row],[BUS]]="VUELTA"), 1+Tabla3[[#This Row],[INVITADOS CENA+FIESTA]], 0)</f>
        <v>1</v>
      </c>
      <c r="G40" s="6" t="b">
        <v>1</v>
      </c>
      <c r="H40" s="33">
        <f xml:space="preserve"> (1+C40)*$K$3 + (D40*$K$4) + IF(E40="SI", F40*$K$7, IF(E40="IDA", F40*$K$8, 0))</f>
        <v>106.5</v>
      </c>
    </row>
    <row r="41" spans="2:8">
      <c r="B41" s="1" t="s">
        <v>9</v>
      </c>
      <c r="C41" s="5">
        <v>0</v>
      </c>
      <c r="D41" s="5">
        <v>0</v>
      </c>
      <c r="E41" s="5" t="s">
        <v>8</v>
      </c>
      <c r="F41" s="5">
        <f>IF(OR(Tabla3[[#This Row],[BUS]]="SI", Tabla3[[#This Row],[BUS]]="IDA", Tabla3[[#This Row],[BUS]]="VUELTA"), 1+Tabla3[[#This Row],[INVITADOS CENA+FIESTA]], 0)</f>
        <v>1</v>
      </c>
      <c r="G41" s="6" t="b">
        <v>1</v>
      </c>
      <c r="H41" s="33">
        <f xml:space="preserve"> (1+C41)*$K$3 + (D41*$K$4) + IF(E41="SI", F41*$K$7, IF(E41="IDA", F41*$K$8, 0))</f>
        <v>106.5</v>
      </c>
    </row>
    <row r="42" spans="2:8">
      <c r="B42" s="1" t="s">
        <v>9</v>
      </c>
      <c r="C42" s="5">
        <v>0</v>
      </c>
      <c r="D42" s="5">
        <v>1</v>
      </c>
      <c r="E42" s="5" t="s">
        <v>11</v>
      </c>
      <c r="F42" s="5">
        <f>IF(OR(Tabla3[[#This Row],[BUS]]="SI", Tabla3[[#This Row],[BUS]]="IDA", Tabla3[[#This Row],[BUS]]="VUELTA"), 1+Tabla3[[#This Row],[INVITADOS CENA+FIESTA]], 0)</f>
        <v>1</v>
      </c>
      <c r="G42" s="6" t="b">
        <v>1</v>
      </c>
      <c r="H42" s="33">
        <f xml:space="preserve"> (1+C42)*$K$3 + (D42*$K$4) + IF(E42="SI", F42*$K$7, IF(E42="IDA", F42*$K$8, 0))</f>
        <v>150.5</v>
      </c>
    </row>
    <row r="43" spans="2:8">
      <c r="B43" s="2">
        <f>COUNTA(B3:B42)</f>
        <v>40</v>
      </c>
      <c r="C43" s="5">
        <f>SUBTOTAL(109,C3:C42)</f>
        <v>14</v>
      </c>
      <c r="D43" s="5">
        <f>SUBTOTAL(109,D3:D42)</f>
        <v>11</v>
      </c>
      <c r="E43" s="5">
        <f>COUNTIF(E3:E42,"SI") + COUNTIF(E3:E42,"IDA") + COUNTIF(E3:E42,"VUELTA")</f>
        <v>30</v>
      </c>
      <c r="F43" s="5">
        <f>SUBTOTAL(109,F3:F42)</f>
        <v>38</v>
      </c>
      <c r="G43" s="5">
        <f>COUNTIF(Tabla3[PAGADO],"VERDADERO") + COUNTIF(Tabla3[PAGADO],"VERDADERO")*C3 + COUNTIF(Tabla3[PAGADO],"VERDADERO")*D3</f>
        <v>22</v>
      </c>
      <c r="H43" s="33">
        <f>SUM(Tabla3[TOTAL])</f>
        <v>6670.5</v>
      </c>
    </row>
    <row r="44" spans="2:8">
      <c r="F44" s="5"/>
      <c r="G44" s="5"/>
    </row>
    <row r="46" spans="2:8">
      <c r="F46" s="5"/>
    </row>
    <row r="47" spans="2:8">
      <c r="F47" s="5"/>
    </row>
    <row r="48" spans="2:8">
      <c r="F48" s="5"/>
    </row>
    <row r="49" spans="6:6">
      <c r="F49" s="5"/>
    </row>
    <row r="50" spans="6:6">
      <c r="F50" s="5"/>
    </row>
    <row r="51" spans="6:6">
      <c r="F51" s="5"/>
    </row>
    <row r="52" spans="6:6">
      <c r="F52" s="5"/>
    </row>
    <row r="53" spans="6:6">
      <c r="F53" s="5"/>
    </row>
    <row r="54" spans="6:6">
      <c r="F54" s="5"/>
    </row>
    <row r="55" spans="6:6">
      <c r="F55" s="5"/>
    </row>
    <row r="56" spans="6:6">
      <c r="F56" s="5"/>
    </row>
    <row r="57" spans="6:6">
      <c r="F57" s="5"/>
    </row>
    <row r="58" spans="6:6">
      <c r="F58" s="5"/>
    </row>
    <row r="59" spans="6:6">
      <c r="F59" s="5"/>
    </row>
    <row r="60" spans="6:6">
      <c r="F60" s="5"/>
    </row>
  </sheetData>
  <sortState xmlns:xlrd2="http://schemas.microsoft.com/office/spreadsheetml/2017/richdata2" ref="B3:G36">
    <sortCondition ref="B3:B36"/>
  </sortState>
  <conditionalFormatting sqref="C2:D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4:D261 C3:D42">
    <cfRule type="cellIs" dxfId="55" priority="11" operator="greaterThan">
      <formula>0</formula>
    </cfRule>
  </conditionalFormatting>
  <conditionalFormatting sqref="E1:E1048576">
    <cfRule type="containsText" dxfId="54" priority="6" operator="containsText" text="VUELTA">
      <formula>NOT(ISERROR(SEARCH("VUELTA",E1)))</formula>
    </cfRule>
    <cfRule type="containsText" dxfId="53" priority="7" operator="containsText" text="IDA">
      <formula>NOT(ISERROR(SEARCH("IDA",E1)))</formula>
    </cfRule>
    <cfRule type="containsText" dxfId="52" priority="8" operator="containsText" text="NO">
      <formula>NOT(ISERROR(SEARCH("NO",E1)))</formula>
    </cfRule>
    <cfRule type="containsText" dxfId="51" priority="9" operator="containsText" text="SI">
      <formula>NOT(ISERROR(SEARCH("SI",E1)))</formula>
    </cfRule>
  </conditionalFormatting>
  <conditionalFormatting sqref="K12">
    <cfRule type="cellIs" dxfId="50" priority="4" operator="greaterThan">
      <formula>72</formula>
    </cfRule>
  </conditionalFormatting>
  <conditionalFormatting sqref="K17">
    <cfRule type="cellIs" dxfId="49" priority="3" operator="greaterThan">
      <formula>"0$K$18"</formula>
    </cfRule>
  </conditionalFormatting>
  <conditionalFormatting sqref="K16">
    <cfRule type="cellIs" dxfId="48" priority="2" operator="greaterThan">
      <formula>0</formula>
    </cfRule>
  </conditionalFormatting>
  <conditionalFormatting sqref="K16">
    <cfRule type="cellIs" dxfId="47" priority="1" operator="equal">
      <formula>0</formula>
    </cfRule>
  </conditionalFormatting>
  <dataValidations count="1">
    <dataValidation type="list" allowBlank="1" showInputMessage="1" showErrorMessage="1" sqref="E3:E42" xr:uid="{60A1207E-10B9-41BC-881C-626904C301A4}">
      <formula1>$P$2:$P$5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93C6C-9482-4260-92CE-6ECCA391537A}">
  <dimension ref="B1:S67"/>
  <sheetViews>
    <sheetView showGridLines="0" tabSelected="1" workbookViewId="0">
      <selection sqref="A1:Q69"/>
    </sheetView>
  </sheetViews>
  <sheetFormatPr defaultColWidth="8.5703125" defaultRowHeight="15"/>
  <cols>
    <col min="1" max="1" width="8.5703125" style="4"/>
    <col min="2" max="2" width="14.140625" style="4" customWidth="1"/>
    <col min="3" max="3" width="15.5703125" style="4" customWidth="1"/>
    <col min="4" max="4" width="13.85546875" style="5" customWidth="1"/>
    <col min="5" max="5" width="10.85546875" style="4" customWidth="1"/>
    <col min="6" max="6" width="8.5703125" style="4"/>
    <col min="7" max="7" width="14.140625" style="4" customWidth="1"/>
    <col min="8" max="8" width="16.7109375" style="4" customWidth="1"/>
    <col min="9" max="9" width="12.140625" style="5" customWidth="1"/>
    <col min="10" max="10" width="12.42578125" style="5" customWidth="1"/>
    <col min="11" max="11" width="8.5703125" style="4"/>
    <col min="12" max="14" width="12.7109375" style="4" customWidth="1"/>
    <col min="15" max="15" width="11.28515625" style="5" customWidth="1"/>
    <col min="16" max="16384" width="8.5703125" style="4"/>
  </cols>
  <sheetData>
    <row r="1" spans="2:19">
      <c r="S1" s="19" t="s">
        <v>0</v>
      </c>
    </row>
    <row r="2" spans="2:19">
      <c r="B2" s="17" t="s">
        <v>1</v>
      </c>
      <c r="C2" s="17" t="s">
        <v>24</v>
      </c>
      <c r="D2" s="18" t="s">
        <v>25</v>
      </c>
      <c r="E2" s="18" t="s">
        <v>6</v>
      </c>
      <c r="G2" s="17" t="s">
        <v>1</v>
      </c>
      <c r="H2" s="17" t="s">
        <v>24</v>
      </c>
      <c r="I2" s="18" t="s">
        <v>25</v>
      </c>
      <c r="J2" s="18" t="s">
        <v>6</v>
      </c>
      <c r="L2" s="21"/>
      <c r="M2" s="22" t="s">
        <v>25</v>
      </c>
      <c r="N2" s="22" t="s">
        <v>6</v>
      </c>
      <c r="O2" s="22" t="s">
        <v>26</v>
      </c>
      <c r="S2" s="5" t="s">
        <v>27</v>
      </c>
    </row>
    <row r="3" spans="2:19">
      <c r="B3" s="4" t="s">
        <v>9</v>
      </c>
      <c r="C3" s="4" t="s">
        <v>28</v>
      </c>
      <c r="D3" s="16" t="s">
        <v>14</v>
      </c>
      <c r="E3" s="6" t="b">
        <v>0</v>
      </c>
      <c r="G3" s="4" t="s">
        <v>9</v>
      </c>
      <c r="H3" s="4" t="s">
        <v>29</v>
      </c>
      <c r="I3" s="5" t="s">
        <v>30</v>
      </c>
      <c r="J3" s="6" t="b">
        <v>0</v>
      </c>
      <c r="L3" s="20" t="s">
        <v>27</v>
      </c>
      <c r="M3" s="5">
        <f>COUNTIF(D:D, "CENA")+COUNTIF(I:I, "CENA")</f>
        <v>27</v>
      </c>
      <c r="N3" s="5">
        <f>COUNTIFS(D3:D60, "CENA", E3:E60, TRUE) + COUNTIFS(I3:I60, "CENA", J3:J60, TRUE)</f>
        <v>23</v>
      </c>
      <c r="O3" s="37">
        <v>43.5</v>
      </c>
      <c r="S3" s="5" t="s">
        <v>30</v>
      </c>
    </row>
    <row r="4" spans="2:19">
      <c r="B4" s="4" t="s">
        <v>9</v>
      </c>
      <c r="C4" s="4" t="s">
        <v>28</v>
      </c>
      <c r="D4" s="5" t="s">
        <v>14</v>
      </c>
      <c r="E4" s="6" t="b">
        <v>0</v>
      </c>
      <c r="G4" s="4" t="s">
        <v>9</v>
      </c>
      <c r="H4" s="4" t="s">
        <v>29</v>
      </c>
      <c r="I4" s="5" t="s">
        <v>14</v>
      </c>
      <c r="J4" s="6" t="b">
        <v>0</v>
      </c>
      <c r="L4" s="23" t="s">
        <v>30</v>
      </c>
      <c r="M4" s="24">
        <f>COUNTIF(D:D, "CENA+FIESTA")+COUNTIF(I:I, "CENA+FIESTA")</f>
        <v>8</v>
      </c>
      <c r="N4" s="24">
        <f>COUNTIFS(D3:D60, "CENA+FIESTA", E3:E60, TRUE) + COUNTIFS(I3:I60, "CENA+FIESTA", J3:J60, TRUE)</f>
        <v>6</v>
      </c>
      <c r="O4" s="38">
        <v>94.5</v>
      </c>
      <c r="S4" s="5" t="s">
        <v>14</v>
      </c>
    </row>
    <row r="5" spans="2:19">
      <c r="B5" s="4" t="s">
        <v>9</v>
      </c>
      <c r="C5" s="4" t="s">
        <v>28</v>
      </c>
      <c r="D5" s="5" t="s">
        <v>14</v>
      </c>
      <c r="E5" s="6" t="b">
        <v>0</v>
      </c>
      <c r="G5" s="4" t="s">
        <v>9</v>
      </c>
      <c r="H5" s="4" t="s">
        <v>29</v>
      </c>
      <c r="I5" s="5" t="s">
        <v>14</v>
      </c>
      <c r="J5" s="6" t="b">
        <v>0</v>
      </c>
      <c r="S5" s="5" t="s">
        <v>31</v>
      </c>
    </row>
    <row r="6" spans="2:19">
      <c r="B6" s="4" t="s">
        <v>9</v>
      </c>
      <c r="C6" s="4" t="s">
        <v>28</v>
      </c>
      <c r="D6" s="5" t="s">
        <v>30</v>
      </c>
      <c r="E6" s="6" t="b">
        <v>1</v>
      </c>
      <c r="G6" s="4" t="s">
        <v>9</v>
      </c>
      <c r="H6" s="4" t="s">
        <v>29</v>
      </c>
      <c r="I6" s="5" t="s">
        <v>27</v>
      </c>
      <c r="J6" s="6" t="b">
        <v>1</v>
      </c>
      <c r="L6" s="21"/>
      <c r="M6" s="21"/>
    </row>
    <row r="7" spans="2:19">
      <c r="B7" s="4" t="s">
        <v>9</v>
      </c>
      <c r="C7" s="4" t="s">
        <v>28</v>
      </c>
      <c r="D7" s="5" t="s">
        <v>14</v>
      </c>
      <c r="E7" s="6" t="b">
        <v>0</v>
      </c>
      <c r="G7" s="4" t="s">
        <v>9</v>
      </c>
      <c r="H7" s="4" t="s">
        <v>29</v>
      </c>
      <c r="I7" s="5" t="s">
        <v>27</v>
      </c>
      <c r="J7" s="6" t="b">
        <v>1</v>
      </c>
      <c r="L7" s="26" t="s">
        <v>7</v>
      </c>
      <c r="M7" s="39">
        <f>M3*O3+M4*O4</f>
        <v>1930.5</v>
      </c>
      <c r="N7" s="42"/>
    </row>
    <row r="8" spans="2:19">
      <c r="B8" s="4" t="s">
        <v>9</v>
      </c>
      <c r="C8" s="4" t="s">
        <v>28</v>
      </c>
      <c r="D8" s="5" t="s">
        <v>27</v>
      </c>
      <c r="E8" s="6" t="b">
        <v>1</v>
      </c>
      <c r="G8" s="4" t="s">
        <v>9</v>
      </c>
      <c r="H8" s="4" t="s">
        <v>29</v>
      </c>
      <c r="I8" s="5" t="s">
        <v>14</v>
      </c>
      <c r="J8" s="6" t="b">
        <v>0</v>
      </c>
    </row>
    <row r="9" spans="2:19">
      <c r="B9" s="4" t="s">
        <v>9</v>
      </c>
      <c r="C9" s="4" t="s">
        <v>28</v>
      </c>
      <c r="D9" s="5" t="s">
        <v>30</v>
      </c>
      <c r="E9" s="6" t="b">
        <v>1</v>
      </c>
      <c r="G9" s="4" t="s">
        <v>9</v>
      </c>
      <c r="H9" s="4" t="s">
        <v>29</v>
      </c>
      <c r="I9" s="5" t="s">
        <v>27</v>
      </c>
      <c r="J9" s="6" t="b">
        <v>1</v>
      </c>
    </row>
    <row r="10" spans="2:19">
      <c r="B10" s="4" t="s">
        <v>9</v>
      </c>
      <c r="C10" s="4" t="s">
        <v>28</v>
      </c>
      <c r="D10" s="5" t="s">
        <v>30</v>
      </c>
      <c r="E10" s="6" t="b">
        <v>1</v>
      </c>
      <c r="G10" s="4" t="s">
        <v>9</v>
      </c>
      <c r="H10" s="4" t="s">
        <v>29</v>
      </c>
      <c r="I10" s="5" t="s">
        <v>14</v>
      </c>
      <c r="J10" s="6" t="b">
        <v>1</v>
      </c>
    </row>
    <row r="11" spans="2:19">
      <c r="B11" s="4" t="s">
        <v>9</v>
      </c>
      <c r="C11" s="4" t="s">
        <v>28</v>
      </c>
      <c r="D11" s="5" t="s">
        <v>27</v>
      </c>
      <c r="E11" s="6" t="b">
        <v>0</v>
      </c>
      <c r="G11" s="4" t="s">
        <v>9</v>
      </c>
      <c r="H11" s="4" t="s">
        <v>29</v>
      </c>
      <c r="I11" s="5" t="s">
        <v>14</v>
      </c>
      <c r="J11" s="6" t="b">
        <v>0</v>
      </c>
    </row>
    <row r="12" spans="2:19">
      <c r="B12" s="4" t="s">
        <v>9</v>
      </c>
      <c r="C12" s="4" t="s">
        <v>28</v>
      </c>
      <c r="D12" s="5" t="s">
        <v>30</v>
      </c>
      <c r="E12" s="6" t="b">
        <v>0</v>
      </c>
      <c r="G12" s="4" t="s">
        <v>9</v>
      </c>
      <c r="H12" s="4" t="s">
        <v>29</v>
      </c>
      <c r="I12" s="5" t="s">
        <v>14</v>
      </c>
      <c r="J12" s="6" t="b">
        <v>0</v>
      </c>
    </row>
    <row r="13" spans="2:19">
      <c r="B13" s="4" t="s">
        <v>9</v>
      </c>
      <c r="C13" s="4" t="s">
        <v>28</v>
      </c>
      <c r="D13" s="5" t="s">
        <v>27</v>
      </c>
      <c r="E13" s="6" t="b">
        <v>1</v>
      </c>
      <c r="G13" s="4" t="s">
        <v>9</v>
      </c>
      <c r="H13" s="4" t="s">
        <v>29</v>
      </c>
      <c r="I13" s="5" t="s">
        <v>27</v>
      </c>
      <c r="J13" s="6" t="b">
        <v>1</v>
      </c>
    </row>
    <row r="14" spans="2:19">
      <c r="B14" s="4" t="s">
        <v>9</v>
      </c>
      <c r="C14" s="4" t="s">
        <v>28</v>
      </c>
      <c r="D14" s="5" t="s">
        <v>27</v>
      </c>
      <c r="E14" s="6" t="b">
        <v>1</v>
      </c>
      <c r="G14" s="4" t="s">
        <v>9</v>
      </c>
      <c r="H14" s="4" t="s">
        <v>29</v>
      </c>
      <c r="I14" s="5" t="s">
        <v>27</v>
      </c>
      <c r="J14" s="6" t="b">
        <v>1</v>
      </c>
    </row>
    <row r="15" spans="2:19">
      <c r="B15" s="4" t="s">
        <v>9</v>
      </c>
      <c r="C15" s="4" t="s">
        <v>28</v>
      </c>
      <c r="D15" s="5" t="s">
        <v>14</v>
      </c>
      <c r="E15" s="6" t="b">
        <v>0</v>
      </c>
      <c r="G15" s="4" t="s">
        <v>9</v>
      </c>
      <c r="H15" s="4" t="s">
        <v>29</v>
      </c>
      <c r="I15" s="5" t="s">
        <v>27</v>
      </c>
      <c r="J15" s="6" t="b">
        <v>1</v>
      </c>
    </row>
    <row r="16" spans="2:19">
      <c r="B16" s="4" t="s">
        <v>9</v>
      </c>
      <c r="C16" s="4" t="s">
        <v>28</v>
      </c>
      <c r="D16" s="5" t="s">
        <v>14</v>
      </c>
      <c r="E16" s="6" t="b">
        <v>0</v>
      </c>
      <c r="G16" s="4" t="s">
        <v>9</v>
      </c>
      <c r="H16" s="4" t="s">
        <v>29</v>
      </c>
      <c r="I16" s="5" t="s">
        <v>14</v>
      </c>
      <c r="J16" s="6" t="b">
        <v>0</v>
      </c>
    </row>
    <row r="17" spans="2:10">
      <c r="D17" s="16"/>
      <c r="G17" s="4" t="s">
        <v>9</v>
      </c>
      <c r="H17" s="4" t="s">
        <v>29</v>
      </c>
      <c r="I17" s="5" t="s">
        <v>14</v>
      </c>
      <c r="J17" s="6" t="b">
        <v>0</v>
      </c>
    </row>
    <row r="18" spans="2:10">
      <c r="B18" s="17" t="s">
        <v>1</v>
      </c>
      <c r="C18" s="17" t="s">
        <v>24</v>
      </c>
      <c r="D18" s="18" t="s">
        <v>25</v>
      </c>
      <c r="E18" s="18" t="s">
        <v>6</v>
      </c>
      <c r="G18" s="4" t="s">
        <v>9</v>
      </c>
      <c r="H18" s="4" t="s">
        <v>29</v>
      </c>
      <c r="I18" s="5" t="s">
        <v>14</v>
      </c>
      <c r="J18" s="6" t="b">
        <v>0</v>
      </c>
    </row>
    <row r="19" spans="2:10">
      <c r="B19" s="4" t="s">
        <v>9</v>
      </c>
      <c r="C19" s="4" t="s">
        <v>32</v>
      </c>
      <c r="D19" s="5" t="s">
        <v>27</v>
      </c>
      <c r="E19" s="6" t="b">
        <v>1</v>
      </c>
      <c r="G19" s="4" t="s">
        <v>9</v>
      </c>
      <c r="H19" s="4" t="s">
        <v>29</v>
      </c>
      <c r="I19" s="5" t="s">
        <v>27</v>
      </c>
      <c r="J19" s="6" t="b">
        <v>1</v>
      </c>
    </row>
    <row r="20" spans="2:10">
      <c r="B20" s="4" t="s">
        <v>9</v>
      </c>
      <c r="C20" s="4" t="s">
        <v>32</v>
      </c>
      <c r="D20" s="5" t="s">
        <v>27</v>
      </c>
      <c r="E20" s="6" t="b">
        <v>1</v>
      </c>
      <c r="G20" s="4" t="s">
        <v>9</v>
      </c>
      <c r="H20" s="4" t="s">
        <v>29</v>
      </c>
      <c r="I20" s="5" t="s">
        <v>14</v>
      </c>
      <c r="J20" s="6" t="b">
        <v>1</v>
      </c>
    </row>
    <row r="21" spans="2:10">
      <c r="B21" s="4" t="s">
        <v>9</v>
      </c>
      <c r="C21" s="4" t="s">
        <v>32</v>
      </c>
      <c r="D21" s="5" t="s">
        <v>30</v>
      </c>
      <c r="E21" s="6" t="b">
        <v>1</v>
      </c>
      <c r="G21" s="4" t="s">
        <v>9</v>
      </c>
      <c r="H21" s="4" t="s">
        <v>29</v>
      </c>
      <c r="I21" s="5" t="s">
        <v>27</v>
      </c>
      <c r="J21" s="6" t="b">
        <v>1</v>
      </c>
    </row>
    <row r="22" spans="2:10">
      <c r="B22" s="4" t="s">
        <v>9</v>
      </c>
      <c r="C22" s="4" t="s">
        <v>32</v>
      </c>
      <c r="D22" s="5" t="s">
        <v>30</v>
      </c>
      <c r="E22" s="6" t="b">
        <v>1</v>
      </c>
      <c r="G22" s="4" t="s">
        <v>9</v>
      </c>
      <c r="H22" s="4" t="s">
        <v>29</v>
      </c>
      <c r="I22" s="5" t="s">
        <v>27</v>
      </c>
      <c r="J22" s="6" t="b">
        <v>1</v>
      </c>
    </row>
    <row r="23" spans="2:10">
      <c r="B23" s="4" t="s">
        <v>9</v>
      </c>
      <c r="C23" s="4" t="s">
        <v>32</v>
      </c>
      <c r="D23" s="5" t="s">
        <v>14</v>
      </c>
      <c r="E23" s="6" t="b">
        <v>0</v>
      </c>
      <c r="G23" s="4" t="s">
        <v>9</v>
      </c>
      <c r="H23" s="4" t="s">
        <v>29</v>
      </c>
      <c r="I23" s="5" t="s">
        <v>27</v>
      </c>
      <c r="J23" s="6" t="b">
        <v>1</v>
      </c>
    </row>
    <row r="24" spans="2:10">
      <c r="B24" s="4" t="s">
        <v>9</v>
      </c>
      <c r="C24" s="4" t="s">
        <v>32</v>
      </c>
      <c r="D24" s="5" t="s">
        <v>14</v>
      </c>
      <c r="E24" s="6" t="b">
        <v>0</v>
      </c>
      <c r="G24" s="4" t="s">
        <v>9</v>
      </c>
      <c r="H24" s="4" t="s">
        <v>29</v>
      </c>
      <c r="I24" s="5" t="s">
        <v>14</v>
      </c>
      <c r="J24" s="6" t="b">
        <v>0</v>
      </c>
    </row>
    <row r="25" spans="2:10">
      <c r="B25" s="4" t="s">
        <v>9</v>
      </c>
      <c r="C25" s="4" t="s">
        <v>32</v>
      </c>
      <c r="D25" s="5" t="s">
        <v>14</v>
      </c>
      <c r="E25" s="6" t="b">
        <v>0</v>
      </c>
      <c r="G25" s="4" t="s">
        <v>9</v>
      </c>
      <c r="H25" s="4" t="s">
        <v>29</v>
      </c>
      <c r="I25" s="5" t="s">
        <v>14</v>
      </c>
      <c r="J25" s="6" t="b">
        <v>0</v>
      </c>
    </row>
    <row r="26" spans="2:10">
      <c r="B26" s="4" t="s">
        <v>9</v>
      </c>
      <c r="C26" s="4" t="s">
        <v>32</v>
      </c>
      <c r="D26" s="5" t="s">
        <v>14</v>
      </c>
      <c r="E26" s="6" t="b">
        <v>0</v>
      </c>
      <c r="G26" s="4" t="s">
        <v>9</v>
      </c>
      <c r="H26" s="4" t="s">
        <v>29</v>
      </c>
      <c r="I26" s="5" t="s">
        <v>14</v>
      </c>
      <c r="J26" s="6" t="b">
        <v>1</v>
      </c>
    </row>
    <row r="27" spans="2:10">
      <c r="B27" s="4" t="s">
        <v>9</v>
      </c>
      <c r="C27" s="4" t="s">
        <v>32</v>
      </c>
      <c r="D27" s="5" t="s">
        <v>14</v>
      </c>
      <c r="E27" s="6" t="b">
        <v>0</v>
      </c>
      <c r="G27" s="4" t="s">
        <v>9</v>
      </c>
      <c r="H27" s="4" t="s">
        <v>29</v>
      </c>
      <c r="I27" s="5" t="s">
        <v>27</v>
      </c>
      <c r="J27" s="6" t="b">
        <v>1</v>
      </c>
    </row>
    <row r="28" spans="2:10">
      <c r="B28" s="4" t="s">
        <v>9</v>
      </c>
      <c r="C28" s="4" t="s">
        <v>32</v>
      </c>
      <c r="D28" s="5" t="s">
        <v>27</v>
      </c>
      <c r="E28" s="6" t="b">
        <v>0</v>
      </c>
      <c r="G28" s="4" t="s">
        <v>9</v>
      </c>
      <c r="H28" s="4" t="s">
        <v>29</v>
      </c>
      <c r="I28" s="5" t="s">
        <v>14</v>
      </c>
      <c r="J28" s="6" t="b">
        <v>0</v>
      </c>
    </row>
    <row r="29" spans="2:10">
      <c r="B29" s="4" t="s">
        <v>9</v>
      </c>
      <c r="C29" s="4" t="s">
        <v>32</v>
      </c>
      <c r="D29" s="5" t="s">
        <v>14</v>
      </c>
      <c r="E29" s="6" t="b">
        <v>0</v>
      </c>
      <c r="G29" s="4" t="s">
        <v>9</v>
      </c>
      <c r="H29" s="4" t="s">
        <v>29</v>
      </c>
      <c r="I29" s="5" t="s">
        <v>14</v>
      </c>
      <c r="J29" s="6" t="b">
        <v>0</v>
      </c>
    </row>
    <row r="30" spans="2:10">
      <c r="B30" s="4" t="s">
        <v>9</v>
      </c>
      <c r="C30" s="4" t="s">
        <v>32</v>
      </c>
      <c r="D30" s="5" t="s">
        <v>14</v>
      </c>
      <c r="E30" s="6" t="b">
        <v>0</v>
      </c>
      <c r="G30" s="4" t="s">
        <v>9</v>
      </c>
      <c r="H30" s="4" t="s">
        <v>29</v>
      </c>
      <c r="I30" s="5" t="s">
        <v>14</v>
      </c>
      <c r="J30" s="6" t="b">
        <v>0</v>
      </c>
    </row>
    <row r="31" spans="2:10">
      <c r="B31" s="4" t="s">
        <v>9</v>
      </c>
      <c r="C31" s="4" t="s">
        <v>32</v>
      </c>
      <c r="D31" s="5" t="s">
        <v>27</v>
      </c>
      <c r="E31" s="6" t="b">
        <v>0</v>
      </c>
      <c r="G31" s="4" t="s">
        <v>9</v>
      </c>
      <c r="H31" s="4" t="s">
        <v>29</v>
      </c>
      <c r="I31" s="5" t="s">
        <v>14</v>
      </c>
      <c r="J31" s="6" t="b">
        <v>0</v>
      </c>
    </row>
    <row r="32" spans="2:10">
      <c r="B32" s="4" t="s">
        <v>9</v>
      </c>
      <c r="C32" s="4" t="s">
        <v>32</v>
      </c>
      <c r="D32" s="5" t="s">
        <v>14</v>
      </c>
      <c r="E32" s="6" t="b">
        <v>0</v>
      </c>
      <c r="G32" s="4" t="s">
        <v>9</v>
      </c>
      <c r="H32" s="4" t="s">
        <v>29</v>
      </c>
      <c r="I32" s="5" t="s">
        <v>27</v>
      </c>
      <c r="J32" s="6" t="b">
        <v>1</v>
      </c>
    </row>
    <row r="33" spans="2:10">
      <c r="B33" s="4" t="s">
        <v>9</v>
      </c>
      <c r="C33" s="4" t="s">
        <v>32</v>
      </c>
      <c r="D33" s="5" t="s">
        <v>14</v>
      </c>
      <c r="E33" s="6" t="b">
        <v>0</v>
      </c>
      <c r="G33" s="4" t="s">
        <v>9</v>
      </c>
      <c r="H33" s="4" t="s">
        <v>29</v>
      </c>
      <c r="I33" s="5" t="s">
        <v>14</v>
      </c>
      <c r="J33" s="6" t="b">
        <v>0</v>
      </c>
    </row>
    <row r="34" spans="2:10">
      <c r="B34" s="4" t="s">
        <v>9</v>
      </c>
      <c r="C34" s="4" t="s">
        <v>32</v>
      </c>
      <c r="D34" s="5" t="s">
        <v>14</v>
      </c>
      <c r="E34" s="6" t="b">
        <v>0</v>
      </c>
      <c r="G34" s="4" t="s">
        <v>9</v>
      </c>
      <c r="H34" s="4" t="s">
        <v>29</v>
      </c>
      <c r="I34" s="5" t="s">
        <v>14</v>
      </c>
      <c r="J34" s="6" t="b">
        <v>0</v>
      </c>
    </row>
    <row r="35" spans="2:10">
      <c r="B35" s="4" t="s">
        <v>9</v>
      </c>
      <c r="C35" s="4" t="s">
        <v>32</v>
      </c>
      <c r="D35" s="5" t="s">
        <v>27</v>
      </c>
      <c r="E35" s="6" t="b">
        <v>1</v>
      </c>
      <c r="G35" s="4" t="s">
        <v>9</v>
      </c>
      <c r="H35" s="4" t="s">
        <v>29</v>
      </c>
      <c r="I35" s="5" t="s">
        <v>27</v>
      </c>
      <c r="J35" s="6" t="b">
        <v>1</v>
      </c>
    </row>
    <row r="36" spans="2:10">
      <c r="B36" s="4" t="s">
        <v>9</v>
      </c>
      <c r="C36" s="4" t="s">
        <v>32</v>
      </c>
      <c r="D36" s="5" t="s">
        <v>27</v>
      </c>
      <c r="E36" s="6" t="b">
        <v>1</v>
      </c>
      <c r="G36" s="4" t="s">
        <v>9</v>
      </c>
      <c r="H36" s="4" t="s">
        <v>29</v>
      </c>
      <c r="I36" s="5" t="s">
        <v>27</v>
      </c>
      <c r="J36" s="6" t="b">
        <v>1</v>
      </c>
    </row>
    <row r="37" spans="2:10">
      <c r="B37" s="4" t="s">
        <v>9</v>
      </c>
      <c r="C37" s="4" t="s">
        <v>32</v>
      </c>
      <c r="D37" s="5" t="s">
        <v>14</v>
      </c>
      <c r="E37" s="6" t="b">
        <v>0</v>
      </c>
      <c r="G37" s="4" t="s">
        <v>9</v>
      </c>
      <c r="H37" s="4" t="s">
        <v>29</v>
      </c>
      <c r="I37" s="5" t="s">
        <v>27</v>
      </c>
      <c r="J37" s="6" t="b">
        <v>1</v>
      </c>
    </row>
    <row r="38" spans="2:10">
      <c r="B38" s="4" t="s">
        <v>9</v>
      </c>
      <c r="C38" s="4" t="s">
        <v>32</v>
      </c>
      <c r="D38" s="5" t="s">
        <v>30</v>
      </c>
      <c r="E38" s="6" t="b">
        <v>1</v>
      </c>
      <c r="G38" s="4" t="s">
        <v>9</v>
      </c>
      <c r="H38" s="4" t="s">
        <v>29</v>
      </c>
      <c r="I38" s="5" t="s">
        <v>27</v>
      </c>
      <c r="J38" s="6" t="b">
        <v>1</v>
      </c>
    </row>
    <row r="39" spans="2:10">
      <c r="B39" s="4" t="s">
        <v>9</v>
      </c>
      <c r="C39" s="4" t="s">
        <v>32</v>
      </c>
      <c r="D39" s="5" t="s">
        <v>14</v>
      </c>
      <c r="E39" s="6" t="b">
        <v>0</v>
      </c>
      <c r="G39" s="4" t="s">
        <v>9</v>
      </c>
      <c r="H39" s="4" t="s">
        <v>29</v>
      </c>
      <c r="I39" s="5" t="s">
        <v>27</v>
      </c>
      <c r="J39" s="6" t="b">
        <v>0</v>
      </c>
    </row>
    <row r="40" spans="2:10">
      <c r="B40" s="4" t="s">
        <v>9</v>
      </c>
      <c r="C40" s="4" t="s">
        <v>32</v>
      </c>
      <c r="D40" s="5" t="s">
        <v>14</v>
      </c>
      <c r="E40" s="6" t="b">
        <v>1</v>
      </c>
      <c r="G40" s="4" t="s">
        <v>9</v>
      </c>
      <c r="H40" s="4" t="s">
        <v>29</v>
      </c>
      <c r="I40" s="5" t="s">
        <v>14</v>
      </c>
      <c r="J40" s="6" t="b">
        <v>0</v>
      </c>
    </row>
    <row r="41" spans="2:10">
      <c r="B41" s="4" t="s">
        <v>9</v>
      </c>
      <c r="C41" s="4" t="s">
        <v>32</v>
      </c>
      <c r="D41" s="5" t="s">
        <v>14</v>
      </c>
      <c r="E41" s="6" t="b">
        <v>1</v>
      </c>
      <c r="G41" s="4" t="s">
        <v>9</v>
      </c>
      <c r="H41" s="4" t="s">
        <v>29</v>
      </c>
      <c r="I41" s="5" t="s">
        <v>14</v>
      </c>
      <c r="J41" s="6" t="b">
        <v>0</v>
      </c>
    </row>
    <row r="42" spans="2:10" hidden="1">
      <c r="E42" s="6" t="b">
        <v>0</v>
      </c>
      <c r="J42" s="6" t="b">
        <v>0</v>
      </c>
    </row>
    <row r="43" spans="2:10" hidden="1">
      <c r="E43" s="6" t="b">
        <v>0</v>
      </c>
      <c r="J43" s="6" t="b">
        <v>0</v>
      </c>
    </row>
    <row r="44" spans="2:10" hidden="1">
      <c r="E44" s="6" t="b">
        <v>0</v>
      </c>
      <c r="J44" s="6" t="b">
        <v>0</v>
      </c>
    </row>
    <row r="45" spans="2:10" hidden="1">
      <c r="E45" s="6" t="b">
        <v>0</v>
      </c>
      <c r="J45" s="6" t="b">
        <v>0</v>
      </c>
    </row>
    <row r="46" spans="2:10" hidden="1">
      <c r="E46" s="6" t="b">
        <v>0</v>
      </c>
      <c r="J46" s="6" t="b">
        <v>0</v>
      </c>
    </row>
    <row r="47" spans="2:10" hidden="1">
      <c r="E47" s="6" t="b">
        <v>0</v>
      </c>
      <c r="J47" s="6" t="b">
        <v>0</v>
      </c>
    </row>
    <row r="48" spans="2:10" hidden="1">
      <c r="E48" s="6" t="b">
        <v>0</v>
      </c>
      <c r="J48" s="6" t="b">
        <v>0</v>
      </c>
    </row>
    <row r="49" spans="2:10" hidden="1">
      <c r="J49" s="6" t="b">
        <v>0</v>
      </c>
    </row>
    <row r="50" spans="2:10" hidden="1">
      <c r="B50" s="17"/>
      <c r="C50" s="17"/>
      <c r="D50" s="18"/>
      <c r="E50" s="18"/>
      <c r="J50" s="6" t="b">
        <v>0</v>
      </c>
    </row>
    <row r="51" spans="2:10" hidden="1">
      <c r="E51" s="6" t="b">
        <v>0</v>
      </c>
      <c r="J51" s="6" t="b">
        <v>0</v>
      </c>
    </row>
    <row r="52" spans="2:10" hidden="1">
      <c r="E52" s="6" t="b">
        <v>0</v>
      </c>
      <c r="J52" s="6" t="b">
        <v>0</v>
      </c>
    </row>
    <row r="53" spans="2:10" hidden="1">
      <c r="E53" s="6" t="b">
        <v>0</v>
      </c>
      <c r="J53" s="6" t="b">
        <v>0</v>
      </c>
    </row>
    <row r="54" spans="2:10" hidden="1">
      <c r="J54" s="6" t="b">
        <v>0</v>
      </c>
    </row>
    <row r="55" spans="2:10" hidden="1">
      <c r="B55" s="17"/>
      <c r="C55" s="17"/>
      <c r="D55" s="18"/>
      <c r="E55" s="18"/>
      <c r="J55" s="6" t="b">
        <v>0</v>
      </c>
    </row>
    <row r="56" spans="2:10" hidden="1">
      <c r="E56" s="6" t="b">
        <v>0</v>
      </c>
      <c r="J56" s="6" t="b">
        <v>0</v>
      </c>
    </row>
    <row r="57" spans="2:10" hidden="1">
      <c r="E57" s="6" t="b">
        <v>0</v>
      </c>
      <c r="J57" s="6" t="b">
        <v>0</v>
      </c>
    </row>
    <row r="58" spans="2:10" hidden="1">
      <c r="J58" s="6" t="b">
        <v>0</v>
      </c>
    </row>
    <row r="59" spans="2:10" hidden="1">
      <c r="B59" s="17"/>
      <c r="C59" s="17"/>
      <c r="D59" s="18"/>
      <c r="E59" s="18"/>
      <c r="J59" s="6" t="b">
        <v>0</v>
      </c>
    </row>
    <row r="60" spans="2:10" hidden="1">
      <c r="E60" s="6" t="b">
        <v>0</v>
      </c>
      <c r="J60" s="6" t="b">
        <v>0</v>
      </c>
    </row>
    <row r="61" spans="2:10" hidden="1">
      <c r="J61" s="6" t="b">
        <v>0</v>
      </c>
    </row>
    <row r="62" spans="2:10" hidden="1">
      <c r="J62" s="6" t="b">
        <v>0</v>
      </c>
    </row>
    <row r="63" spans="2:10" hidden="1">
      <c r="J63" s="6" t="b">
        <v>0</v>
      </c>
    </row>
    <row r="64" spans="2:10" hidden="1">
      <c r="J64" s="6" t="b">
        <v>0</v>
      </c>
    </row>
    <row r="65" spans="10:10" hidden="1">
      <c r="J65" s="6" t="b">
        <v>0</v>
      </c>
    </row>
    <row r="66" spans="10:10" hidden="1">
      <c r="J66" s="6" t="b">
        <v>0</v>
      </c>
    </row>
    <row r="67" spans="10:10" hidden="1">
      <c r="J67" s="6" t="b">
        <v>0</v>
      </c>
    </row>
  </sheetData>
  <conditionalFormatting sqref="I1:J1 I68:J1048576 I2:I67 D1:D1048576">
    <cfRule type="containsText" dxfId="30" priority="15" operator="containsText" text="CENA+FIESTA">
      <formula>NOT(ISERROR(SEARCH("CENA+FIESTA",D1)))</formula>
    </cfRule>
    <cfRule type="containsText" dxfId="29" priority="16" operator="containsText" text="CENA">
      <formula>NOT(ISERROR(SEARCH("CENA",D1)))</formula>
    </cfRule>
    <cfRule type="containsText" dxfId="28" priority="19" operator="containsText" text="NO">
      <formula>NOT(ISERROR(SEARCH("NO",D1)))</formula>
    </cfRule>
    <cfRule type="beginsWith" dxfId="27" priority="20" operator="beginsWith" text="?">
      <formula>LEFT(D1,LEN("?"))="?"</formula>
    </cfRule>
  </conditionalFormatting>
  <conditionalFormatting sqref="G1:J1 G3:J1048576 H2:J2">
    <cfRule type="expression" dxfId="26" priority="10">
      <formula>$I1="NO"</formula>
    </cfRule>
  </conditionalFormatting>
  <conditionalFormatting sqref="B1:E1048576">
    <cfRule type="expression" dxfId="25" priority="26">
      <formula>$D1="NO"</formula>
    </cfRule>
  </conditionalFormatting>
  <conditionalFormatting sqref="B1:E1048576">
    <cfRule type="expression" dxfId="24" priority="24">
      <formula>$D1="CENA+FIESTA"</formula>
    </cfRule>
  </conditionalFormatting>
  <conditionalFormatting sqref="B1:E1048576">
    <cfRule type="expression" dxfId="23" priority="25">
      <formula>$D1="CENA"</formula>
    </cfRule>
  </conditionalFormatting>
  <conditionalFormatting sqref="G1:J1 G3:J1048576 H2:J2">
    <cfRule type="expression" dxfId="22" priority="5">
      <formula>$I1="CENA+FIESTA"</formula>
    </cfRule>
  </conditionalFormatting>
  <conditionalFormatting sqref="G1:J1 G3:J1048576 H2:J2">
    <cfRule type="expression" dxfId="21" priority="7">
      <formula>$I1="CENA"</formula>
    </cfRule>
  </conditionalFormatting>
  <conditionalFormatting sqref="G2">
    <cfRule type="expression" dxfId="20" priority="3">
      <formula>$D2="NO"</formula>
    </cfRule>
  </conditionalFormatting>
  <conditionalFormatting sqref="G2">
    <cfRule type="expression" dxfId="19" priority="1">
      <formula>$D2="CENA+FIESTA"</formula>
    </cfRule>
  </conditionalFormatting>
  <conditionalFormatting sqref="G2">
    <cfRule type="expression" dxfId="18" priority="2">
      <formula>$D2="CENA"</formula>
    </cfRule>
  </conditionalFormatting>
  <dataValidations count="2">
    <dataValidation type="list" showInputMessage="1" showErrorMessage="1" sqref="D3:D17 I19:I67 D60 D56:D57 D19:D48 D51:D53" xr:uid="{09A847AD-5B49-4DE5-9430-A284287C5A09}">
      <formula1>$S$2:$S$6</formula1>
    </dataValidation>
    <dataValidation type="list" allowBlank="1" showInputMessage="1" showErrorMessage="1" sqref="I3:I18" xr:uid="{A3EF42A2-401C-4CC2-AD35-E1C1242A3442}">
      <formula1>$S$2:$S$6</formula1>
    </dataValidation>
  </dataValidation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2026-06-16T13:54:47Z</dcterms:created>
  <dcterms:modified xsi:type="dcterms:W3CDTF">2026-06-22T11:33:15Z</dcterms:modified>
  <cp:category/>
  <cp:contentStatus/>
</cp:coreProperties>
</file>